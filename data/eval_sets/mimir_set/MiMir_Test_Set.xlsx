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l 1 Manual" sheetId="2" r:id="rId6"/>
    <sheet state="visible" name="Sol 3 Generate" sheetId="3" r:id="rId7"/>
    <sheet state="visible" name="Sol 4 SQL Log" sheetId="4" r:id="rId8"/>
    <sheet state="visible" name="test"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bị lặp</t>
      </text>
    </comment>
    <comment authorId="0" ref="C11">
      <text>
        <t xml:space="preserve">bị lặp</t>
      </text>
    </comment>
    <comment authorId="0" ref="C14">
      <text>
        <t xml:space="preserve">lặp</t>
      </text>
    </comment>
    <comment authorId="0" ref="C16">
      <text>
        <t xml:space="preserve">không thực tế</t>
      </text>
    </comment>
    <comment authorId="0" ref="C21">
      <text>
        <t xml:space="preserve">wording lại cho thực tế</t>
      </text>
    </comment>
    <comment authorId="0" ref="C23">
      <text>
        <t xml:space="preserve">wording lại</t>
      </text>
    </comment>
    <comment authorId="0" ref="C28">
      <text>
        <t xml:space="preserve">hơi chung chung</t>
      </text>
    </comment>
    <comment authorId="0" ref="C29">
      <text>
        <t xml:space="preserve">lặp</t>
      </text>
    </comment>
    <comment authorId="0" ref="C30">
      <text>
        <t xml:space="preserve">không thực tế</t>
      </text>
    </comment>
    <comment authorId="0" ref="C31">
      <text>
        <t xml:space="preserve">COMBO ít ai nói dịch vụ</t>
      </text>
    </comment>
    <comment authorId="0" ref="C32">
      <text>
        <t xml:space="preserve">service type</t>
      </text>
    </comment>
    <comment authorId="0" ref="C33">
      <text>
        <t xml:space="preserve">đưa ra kết quả khá rõ ràng</t>
      </text>
    </comment>
    <comment authorId="0" ref="C36">
      <text>
        <t xml:space="preserve">chỉnh lại chỗ method</t>
      </text>
    </comment>
    <comment authorId="0" ref="C38">
      <text>
        <t xml:space="preserve">hỏi ổn nhưng cần chỉnh lại</t>
      </text>
    </comment>
    <comment authorId="0" ref="C41">
      <text>
        <t xml:space="preserve">wording lại</t>
      </text>
    </comment>
    <comment authorId="0" ref="C42">
      <text>
        <t xml:space="preserve">wording lại</t>
      </text>
    </comment>
    <comment authorId="0" ref="C43">
      <text>
        <t xml:space="preserve">wording lại</t>
      </text>
    </comment>
    <comment authorId="0" ref="C44">
      <text>
        <t xml:space="preserve">viết lại tên nguồn tiền tự nhiên hơn</t>
      </text>
    </comment>
    <comment authorId="0" ref="C45">
      <text>
        <t xml:space="preserve">cần người có chuyên môn xem lại câu này, không biết đúng kiến thức không</t>
      </text>
    </comment>
    <comment authorId="0" ref="C46">
      <text>
        <t xml:space="preserve">đổi chữ apple icloud cho nó tự nhiên</t>
      </text>
    </comment>
    <comment authorId="0" ref="C58">
      <text>
        <t xml:space="preserve">câu này chưa có khái niệm nên hơi khó đó</t>
      </text>
    </comment>
  </commentList>
</comments>
</file>

<file path=xl/sharedStrings.xml><?xml version="1.0" encoding="utf-8"?>
<sst xmlns="http://schemas.openxmlformats.org/spreadsheetml/2006/main" count="4947" uniqueCount="1607">
  <si>
    <r>
      <rPr>
        <rFont val="Lexend"/>
        <b/>
        <color theme="1"/>
        <sz val="11.0"/>
      </rPr>
      <t>Context:</t>
    </r>
    <r>
      <rPr>
        <rFont val="Lexend"/>
        <color theme="1"/>
        <sz val="11.0"/>
      </rPr>
      <t xml:space="preserve"> Để đánh gía được chất lượng mô hình Text_to_SQL của MiMir ở MoMo cần mộ bộ text set</t>
    </r>
  </si>
  <si>
    <t>Approach:</t>
  </si>
  <si>
    <t>- Solution 1: Manual</t>
  </si>
  <si>
    <t>Mỗi owner của domain cung cấp 1 bộ câu hỏi từ dễ tới khó về Domain đó với kỳ vọng MiMir sẽ trả lời được</t>
  </si>
  <si>
    <t>Điểm mạnh</t>
  </si>
  <si>
    <t>Điểm yếu</t>
  </si>
  <si>
    <t>Câu hỏi gần sát với thực tế, mức độ am hiểu cao</t>
  </si>
  <si>
    <t>Human Resource</t>
  </si>
  <si>
    <t>Thiếu góc cạnh về các người dùng phía Business</t>
  </si>
  <si>
    <t>- Solution 2: Thu thập Feedback</t>
  </si>
  <si>
    <t>Thu thập các câu hỏi - câu trả lời bị dislike của MiMir</t>
  </si>
  <si>
    <t>Sát với thực tế nhất</t>
  </si>
  <si>
    <t>Số lượng ít</t>
  </si>
  <si>
    <t>Các Domain được thay đổi liên tục khiến việc test lại bị khó khăn</t>
  </si>
  <si>
    <t>Nhiều yếu tố chủ quan</t>
  </si>
  <si>
    <t>- Solution 3: ChatGPT Generate</t>
  </si>
  <si>
    <t>Cung cấp thông tin Domain, một số câu hỏi mẫu, các data anagle biến đổi</t>
  </si>
  <si>
    <t>Lượng dữ liệu nhiều</t>
  </si>
  <si>
    <t>Không có câu SQL chính xác đi kèm</t>
  </si>
  <si>
    <t>Tiết kiệm Resource</t>
  </si>
  <si>
    <t>Thiếu thực tế</t>
  </si>
  <si>
    <t>Các câu hỏi bị lặp lại, không có gì mới</t>
  </si>
  <si>
    <t>- Solution 4: SQL BigQuery log</t>
  </si>
  <si>
    <t>Không có Prompt đi kèm</t>
  </si>
  <si>
    <t>Nhiều SQL không phục vụ cho mục đích gì cả</t>
  </si>
  <si>
    <t>Thực tế hơn solution 3</t>
  </si>
  <si>
    <t>index</t>
  </si>
  <si>
    <t>Prompt</t>
  </si>
  <si>
    <t>Domain</t>
  </si>
  <si>
    <t>Expected_SQL</t>
  </si>
  <si>
    <t>Expected_Response</t>
  </si>
  <si>
    <t>Answer_version_1</t>
  </si>
  <si>
    <t>Answer_version_2</t>
  </si>
  <si>
    <t>Answer_version_3</t>
  </si>
  <si>
    <t>Answer_version_4</t>
  </si>
  <si>
    <t>Answer_version_5</t>
  </si>
  <si>
    <t>Score</t>
  </si>
  <si>
    <t>Answer_version_5 + DA Document (production)</t>
  </si>
  <si>
    <t>Answer ver 6 (Mimir 2.0 agentic)</t>
  </si>
  <si>
    <t>Mimir LangGraph v0.1</t>
  </si>
  <si>
    <t>Mimir LangGraph v0.2</t>
  </si>
  <si>
    <t>Next action</t>
  </si>
  <si>
    <t>Số lượng người dùng theo từng dịch vụ trong quý 1 năm 2024</t>
  </si>
  <si>
    <t>Transaction MoMo</t>
  </si>
  <si>
    <t>SELECT usecase, COUNT(DISTINCT user_id) AS number_of_users
FROM momovn-mimir.MIMIR.iDeA_TRANS_CORE
WHERE date BETWEEN '2024-01-01' AND '2024-03-31'
GROUP BY usecase
ORDER BY number_of_users DESC</t>
  </si>
  <si>
    <t>SELECT 
    t.usecase,
    COUNT(DISTINCT t.user_id) AS user_count
FROM 
    `momovn-mimir.MIMIR.iDeA_TRANS_CORE` t
JOIN 
    `momovn-mimir.MIMIR.iDeA_TRANS_DEMOGRAPHIC` d
ON 
    t.user_id = d.user_id
WHERE
    t.date BETWEEN '2024-01-01' AND '2024-03-31'
GROUP BY 
    t.usecase;</t>
  </si>
  <si>
    <t xml:space="preserve">SELECT 
  usecase, 
  COUNT(DISTINCT user_id) AS user_count
FROM 
  `momovn-mimir.MIMIR.iDeA_TRANS_CORE`
WHERE 
  DATE_TRUNC(date, QUARTER) = '2024-01-01'
GROUP BY 
  usecase
</t>
  </si>
  <si>
    <t>SELECT 
  usecase,
  COUNT(DISTINCT user_id) AS user_count
FROM 
  `momovn-mimir.MIMIR.iDeA_TRANS_CORE`
WHERE 
  date BETWEEN '2024-01-01' AND '2024-03-31'
GROUP BY 
  usecase
ORDER BY 
  usecase
LIMIT 10;</t>
  </si>
  <si>
    <t>SELECT 
    usecase,
    COUNT(DISTINCT user_id) AS number_of_users
FROM `momovn-mimir.MIMIR.iDeA_TRANS_CORE`
WHERE DATE BETWEEN '2024-01-01' AND '2024-03-31'
GROUP BY usecase
ORDER BY number_of_users DESC
LIMIT 10</t>
  </si>
  <si>
    <t xml:space="preserve">SELECT 
    usecase,
    COUNT(DISTINCT user_id) as number_of_users
FROM 
    `momovn-mimir.MIMIR.iDeA_TRANS_CORE`
WHERE 
    EXTRACT(YEAR FROM date) = 2024
    AND EXTRACT(QUARTER FROM date) = 1
GROUP BY 
    usecase
ORDER BY 
    number_of_users DESC
LIMIT 25
</t>
  </si>
  <si>
    <t>SELECT 
  usecase,
  COUNT(DISTINCT user_id) as user_count
FROM `momovn-mimir.MIMIR.iDeA_TRANS_CORE`
WHERE date BETWEEN '2024-01-01' AND '2024-03-31'
  AND user_id IS NOT NULL
GROUP BY usecase
ORDER BY user_count DESC;</t>
  </si>
  <si>
    <t>Số người dùng có giao dịch trong tháng 1 năm 2024 và vẫn tiếp tục giao dịch trong tháng 2 năm 2024</t>
  </si>
  <si>
    <t>WITH January_Transactions AS (
SELECT DISTINCT user_id
FROM momovn-mimir.MIMIR.iDeA_TRANS_CORE
WHERE date BETWEEN '2024-01-01' AND '2024-01-31'
),
February_Transactions AS (
SELECT DISTINCT user_id
FROM momovn-mimir.MIMIR.iDeA_TRANS_CORE
WHERE date BETWEEN '2024-02-01' AND '2024-02-29'
)
SELECT COUNT(DISTINCT January_Transactions.user_id) AS number_of_users
FROM January_Transactions
JOIN February_Transactions
ON January_Transactions.user_id = February_Transactions.user_id</t>
  </si>
  <si>
    <t>WITH Jan_2024_Transactions AS (
    SELECT DISTINCT user_id
    FROM `momovn-mimir.MIMIR.iDeA_TRANS_CORE`
    WHERE DATE_TRUNC(date, MONTH) = '2024-01-01'
),
Feb_2024_Transactions AS (
    SELECT DISTINCT user_id
    FROM `momovn-mimir.MIMIR.iDeA_TRANS_CORE`
    WHERE DATE_TRUNC(date, MONTH) = '2024-02-01'
)
SELECT COUNT(*) AS user_count
FROM Jan_2024_Transactions j
JOIN Feb_2024_Transactions f
ON j.user_id = f.user_id;</t>
  </si>
  <si>
    <t>SELECT COUNT(DISTINCT t1.user_id) as continuing_users
FROM `momovn-mimir.MIMIR.iDeA_TRANS_CORE` t1
JOIN `momovn-mimir.MIMIR.iDeA_TRANS_CORE` t2
ON t1.user_id = t2.user_id
WHERE
  EXTRACT(YEAR FROM t1.date) = 2024 AND EXTRACT(MONTH FROM t1.date) = 1
  AND EXTRACT(YEAR FROM t2.date) = 2024 AND EXTRACT(MONTH FROM t2.date) = 2;</t>
  </si>
  <si>
    <t xml:space="preserve">SELECT COUNT(DISTINCT transaction_january.user_id) AS user_count
FROM (
  SELECT DISTINCT user_id
  FROM `momovn-mimir.MIMIR.iDeA_TRANS_CORE`
  WHERE EXTRACT(YEAR FROM date) = 2024 AND EXTRACT(MONTH FROM date) = 1
) AS transaction_january
JOIN (
  SELECT DISTINCT user_id
  FROM `momovn-mimir.MIMIR.iDeA_TRANS_CORE`
  WHERE EXTRACT(YEAR FROM date) = 2024 AND EXTRACT(MONTH FROM date) = 2
) AS transaction_february
ON transaction_january.user_id = transaction_february.user_id
</t>
  </si>
  <si>
    <t>SELECT COUNT(DISTINCT t1.user_id) AS active_users
FROM `momovn-mimir.MIMIR.iDeA_TRANS_CORE` AS t1
JOIN `momovn-mimir.MIMIR.iDeA_TRANS_CORE` AS t2
ON t1.user_id = t2.user_id
WHERE t1.date BETWEEN '2024-01-01' AND '2024-01-31'
  AND t2.date BETWEEN '2024-02-01' AND '2024-02-29'
LIMIT 10;</t>
  </si>
  <si>
    <t xml:space="preserve">SELECT COUNT(DISTINCT a.user_id) as user_count
FROM `momovn-mimir.MIMIR.iDeA_TRANS_CORE` a
JOIN `momovn-mimir.MIMIR.iDeA_TRANS_CORE` b
ON a.user_id = b.user_id
WHERE a.date BETWEEN '2024-01-01' AND '2024-01-31'
AND b.date BETWEEN '2024-02-01' AND '2024-02-29'
</t>
  </si>
  <si>
    <t>WITH jan_users AS (
  SELECT DISTINCT user_id
  FROM `momovn-mimir.MIMIR.iDeA_TRANS_CORE`
  WHERE DATE_TRUNC(date, MONTH) = '2024-01-01'
  AND user_id IS NOT NULL
),
feb_users AS (
  SELECT DISTINCT user_id
  FROM `momovn-mimir.MIMIR.iDeA_TRANS_CORE`
  WHERE DATE_TRUNC(date, MONTH) = '2024-02-01'
  AND user_id IS NOT NULL
)
SELECT COUNT(DISTINCT j.user_id) as retained_users
FROM jan_users j
INNER JOIN feb_users f
ON j.user_id = f.user_id;</t>
  </si>
  <si>
    <t>Số lượng tập người dùng hardcore trong tháng 2 năm 2024</t>
  </si>
  <si>
    <t>Vui lòng định nghĩa tập hardcore</t>
  </si>
  <si>
    <t xml:space="preserve">WITH transactions_feb_2024 AS (
  SELECT
    user_id,
    DATE(date) as tran_date
  FROM `momovn-mimir.MIMIR.iDeA_TRANS_CORE`
  WHERE
    EXTRACT(YEAR FROM date) = 2024
    AND EXTRACT(MONTH FROM date) = 2
),
daily_transactions AS (
  SELECT
    user_id,
    COUNT(DISTINCT tran_date) as days_active
  FROM transactions_feb_2024
  GROUP BY user_id
)
SELECT
  COUNT(*) as hardcore_users_count
FROM daily_transactions
WHERE days_active = 29 -- Tháng 2 năm nhuận có 29 ngày
</t>
  </si>
  <si>
    <t>SELECT COUNT(DISTINCT t.user_id) AS hardcore_users
FROM `momovn-mimir.MIMIR.iDeA_TRANS_CORE` t
WHERE t.date &gt;= '2024-02-01' AND t.date &lt;= '2024-02-29'
AND t.transaction_amount &gt; 1000000
AND t.transaction_type = 'Hardcore';</t>
  </si>
  <si>
    <t xml:space="preserve">SELECT COUNT(DISTINCT user_id) AS hardcore_user_count
FROM `momovn-mimir.MIMIR.iDeA_TRANS_CORE`
WHERE DATE_TRUNC(date, MONTH) = '2024-02-01'
  AND (
    SELECT COUNT(*) 
    FROM `momovn-mimir.MIMIR.iDeA_TRANS_CORE` AS t 
    WHERE t.user_id = iDeA_TRANS_CORE.user_id 
      AND DATE_TRUNC(t.date, MONTH) = '2024-02-01'
  ) &gt; 10
LIMIT 10
</t>
  </si>
  <si>
    <t>SELECT COUNT(DISTINCT user_id) AS hardcore_user_count
FROM `momovn-mimir.MIMIR.iDeA_TRANS_CORE`
WHERE DATE_TRUNC(date, MONTH) = '2024-02-01'
  AND transaction_amount &gt;= 10000000</t>
  </si>
  <si>
    <t xml:space="preserve">SELECT COUNT(DISTINCT a.user_id) AS hardcore_user_count
FROM `momovn-mimir.MIMIR.iDeA_TRANS_CORE` a
JOIN `momovn-mimir.MIMIR.iDeA_TRANS_DEMOGRAPHIC` b
ON a.user_id = b.user_id
WHERE DATE_TRUNC(a.date, MONTH) = '2024-02'
AND a.usecase = 'hardcore'
</t>
  </si>
  <si>
    <t>Chênh lệch số lượng người dùng hiện tại phân bổ tại Hà Nội là bao nhiêu trong tháng 4 2024 và tháng 5 2024?</t>
  </si>
  <si>
    <t>SELECT
COUNT(DISTINCT core.user_id) AS user_count,
DATE_TRUNC(core.date, MONTH) as month
FROM momovn-mimir.MIMIR.iDeA_TRANS_CORE AS core
JOIN momovn-mimir.MIMIR.iDeA_TRANS_DEMOGRAPHIC AS demo
ON core.user_id = demo.user_id
WHERE demo.city = 'Hà Nội'
AND core.date BETWEEN '2024-04-01' AND '2024-05-31'
GROUP BY DATE_TRUNC(core.date, MONTH)
ORDER BY month;</t>
  </si>
  <si>
    <t xml:space="preserve">WITH ActiveUsers AS (
  SELECT DISTINCT core.user_id
  FROM `momovn-mimir.MIMIR.iDeA_TRANS_CORE` core
  JOIN `momovn-mimir.MIMIR.iDeA_TRANS_DEMOGRAPHIC` demo
  ON core.user_id = demo.user_id
  WHERE demo.city = 'Hà Nội' 
    AND core.date BETWEEN '2024-04-01' AND '2024-05-31'
    AND EXTRACT(YEAR FROM core.date) = 2024 
    AND EXTRACT(MONTH FROM core.date) IN (4, 5)
),
UserCount AS (
  SELECT 
    EXTRACT(MONTH FROM core.date) AS month,
    COUNT(DISTINCT core.user_id) AS user_count
  FROM ActiveUsers au
  JOIN `momovn-mimir.MIMIR.iDeA_TRANS_CORE` core
  ON au.user_id = core.user_id
  GROUP BY EXTRACT(MONTH FROM core.date)
)
SELECT 
  (SELECT user_count FROM UserCount WHERE month = 5) -
  (SELECT user_count FROM UserCount WHERE month = 4) AS user_diff
</t>
  </si>
  <si>
    <t>SELECT 
    (COUNT(DISTINCT CASE WHEN EXTRACT(MONTH FROM t.date) = 5 THEN t.user_id END) -
     COUNT(DISTINCT CASE WHEN EXTRACT(MONTH FROM t.date) = 4 THEN t.user_id END)) AS user_difference
FROM 
    `momovn-mimir.MIMIR.iDeA_TRANS_CORE` t
JOIN 
    `momovn-mimir.MIMIR.iDeA_TRANS_DEMOGRAPHIC` d
ON 
    t.user_id = d.user_id
WHERE 
    d.city = 'Hà Nội' AND 
    EXTRACT(YEAR FROM t.date) = 2024 AND 
    EXTRACT(MONTH FROM t.date) IN (4, 5);</t>
  </si>
  <si>
    <t>SELECT 
    COUNT(DISTINCT user_id) AS user_count, 
    EXTRACT(MONTH FROM date) AS month
FROM 
    `momovn-mimir.MIMIR.iDeA_TRANS_CORE` AS tc
JOIN 
    `momovn-mimir.MIMIR.iDeA_TRANS_DEMOGRAPHIC` AS td
ON 
    tc.user_id = td.user_id
WHERE 
    td.city = 'Hà Nội' 
    AND DATE(date) BETWEEN '2024-04-01' AND '2024-05-31'
GROUP BY 
    EXTRACT(MONTH FROM date)
ORDER BY 
    month
LIMIT 10;</t>
  </si>
  <si>
    <t>WITH user_counts AS (
    SELECT
        DATE_TRUNC(date, MONTH) AS month,
        COUNT(DISTINCT t.user_id) AS user_count
    FROM
        `momovn-mimir.MIMIR.iDeA_TRANS_CORE` t
    JOIN
        `momovn-mimir.MIMIR.iDeA_TRANS_DEMOGRAPHIC` d
    ON
        t.user_id = d.user_id
    WHERE
        d.city = 'Hà Nội'
        AND date BETWEEN '2024-04-01' AND '2024-05-31'
    GROUP BY
        DATE_TRUNC(date, MONTH)
)
SELECT
    (SELECT user_count FROM user_counts WHERE month = '2024-05-01') - 
    (SELECT user_count FROM user_counts WHERE month = '2024-04-01') AS user_difference
;</t>
  </si>
  <si>
    <t xml:space="preserve">WITH users_april AS (
  SELECT user_id
  FROM `momovn-mimir.MIMIR.iDeA_TRANS_CORE`
  JOIN `momovn-mimir.MIMIR.iDeA_TRANS_DEMOGRAPHIC` USING (user_id)
  WHERE city = 'Hà Nội' AND EXTRACT(MONTH FROM date) = 4 AND EXTRACT(YEAR FROM date) = 2024
  GROUP BY user_id
),
users_may AS (
  SELECT user_id
  FROM `momovn-mimir.MIMIR.iDeA_TRANS_CORE`
  JOIN `momovn-mimir.MIMIR.iDeA_TRANS_DEMOGRAPHIC` USING (user_id)
  WHERE city = 'Hà Nội' AND EXTRACT(MONTH FROM date) = 5 AND EXTRACT(YEAR FROM date) = 2024
  GROUP BY user_id
)
SELECT 
  (SELECT COUNT(*) FROM users_april) - (SELECT COUNT(*) FROM users_may) AS difference
</t>
  </si>
  <si>
    <t>WITH users_by_month AS (
  SELECT 
    DATE_TRUNC(t.date, MONTH) as month,
    COUNT(DISTINCT t.user_id) as user_count
  FROM `momovn-mimir.MIMIR.iDeA_TRANS_CORE` t
  JOIN `momovn-mimir.MIMIR.iDeA_TRANS_DEMOGRAPHIC` d
  ON t.user_id = d.user_id
  WHERE 
    d.city_group = 'Hà Nội'
    AND t.date BETWEEN '2024-04-01' AND '2024-05-31'
  GROUP BY DATE_TRUNC(t.date, MONTH)
)
SELECT 
  ABS(MAX(CASE WHEN month = '2024-05-01' THEN user_count END) - 
      MAX(CASE WHEN month = '2024-04-01' THEN user_count END)) as user_difference
FROM users_by_month;</t>
  </si>
  <si>
    <t>Số lượng người dùng cashin trong quý 1 năm 2024</t>
  </si>
  <si>
    <t>SELECT
COUNT(DISTINCT core.user_id) AS user_count
FROM momovn-mimir.MIMIR.iDeA_TRANS_CORE AS core
WHERE core.transaction_type = 'CASHIN'
AND core.date BETWEEN '2024-01-01' AND '2024-03-31';</t>
  </si>
  <si>
    <t>SELECT 
    COUNT(DISTINCT tc.user_id) AS num_users_cashin_Q1_2024
FROM 
    `momovn-mimir.MIMIR.iDeA_TRANS_CORE` tc
JOIN 
    `momovn-mimir.MIMIR.iDeA_TRANS_DEMOGRAPHIC` td
ON 
    tc.user_id = td.user_id
WHERE 
    tc.transaction_type = 'cashin' 
    AND DATE(tc.date) BETWEEN '2024-01-01' AND '2024-03-31';</t>
  </si>
  <si>
    <t>SELECT 
    COUNT(DISTINCT user_id) AS user_count
FROM 
    `momovn-mimir.MIMIR.iDeA_TRANS_CORE`
WHERE 
    transaction_type = 'cashin' AND
    DATE(date) BETWEEN '2024-01-01' AND '2024-03-31';</t>
  </si>
  <si>
    <t>SELECT COUNT(DISTINCT user_id) AS user_count
FROM `momovn-mimir.MIMIR.iDeA_TRANS_CORE`
WHERE transaction_type = 'CASHIN' 
  AND date BETWEEN '2024-01-01' AND '2024-03-31';</t>
  </si>
  <si>
    <t>SELECT COUNT(DISTINCT user_id) as number_of_users
FROM `momovn-mimir.MIMIR.iDeA_TRANS_CORE`
WHERE transaction_type = 'CASHIN'
AND DATE BETWEEN '2024-01-01' AND '2024-03-31'</t>
  </si>
  <si>
    <t xml:space="preserve">SELECT COUNT(DISTINCT user_id) AS user_count
FROM `momovn-mimir.MIMIR.iDeA_TRANS_CORE`
WHERE transaction_type = 'CASHIN'
AND DATE BETWEEN '2024-01-01' AND '2024-03-31'
</t>
  </si>
  <si>
    <t>SELECT COUNT(DISTINCT user_id) as unique_users
FROM `momovn-mimir.MIMIR.iDeA_TRANS_CORE`
WHERE transaction_type = 'CASHIN'
AND date BETWEEN '2024-01-01' AND '2024-03-31';</t>
  </si>
  <si>
    <t>MAU trend from the beginning of 2024 until now</t>
  </si>
  <si>
    <t>SELECT date_trunc(date, month) as month, COUNT(DISTINCT user_id) as MAU
FROM `momovn-mimir.MIMIR.iDeA_TRANS_CORE` t1
WHERE t1.date &gt;= "2024-01-01"
GROUP BY 1
ORDER BY 1 DESC</t>
  </si>
  <si>
    <t>SELECT 
    DATE_TRUNC(date, MONTH) as month,
    COUNT(DISTINCT user_id) as monthly_active_users
FROM 
    `momovn-mimir.MIMIR.iDeA_TRANS_CORE`
WHERE 
    DATE_TRUNC(date, MONTH) BETWEEN '2024-01-01' AND CURRENT_DATE()
GROUP BY 
    DATE_TRUNC(date, MONTH)
ORDER BY 
    DATE_TRUNC(date, MONTH);</t>
  </si>
  <si>
    <t>SELECT 
  DATE_TRUNC(date, MONTH) AS month,
  COUNT(DISTINCT user_id) AS mau
FROM 
  `momovn-mimir.MIMIR.iDeA_TRANS_CORE`
WHERE 
  date &gt;= '2024-01-01'
GROUP BY 
  month
ORDER BY 
  month;</t>
  </si>
  <si>
    <t>SELECT
  EXTRACT(MONTH FROM date) AS month,
  COUNT(DISTINCT user_id) AS monthly_active_users
FROM
  `momovn-mimir.MIMIR.iDeA_TRANS_CORE`
WHERE
  date &gt;= '2024-01-01'
GROUP BY
  month
ORDER BY
  month;</t>
  </si>
  <si>
    <t>SELECT 
  DATE_TRUNC(date, MONTH) AS month,
  COUNT(DISTINCT user_id) AS mau
FROM 
  `momovn-mimir.MIMIR.iDeA_TRANS_CORE`
WHERE 
  date &gt;= '2024-01-01'
GROUP BY 
  month
ORDER BY 
  month
LIMIT 10;</t>
  </si>
  <si>
    <t>SELECT 
  DATE_TRUNC(date, MONTH) AS month,
  COUNT(DISTINCT user_id) AS monthly_active_users
FROM 
  `momovn-mimir.MIMIR.iDeA_TRANS_CORE`
WHERE 
  date BETWEEN '2024-01-01' AND CURRENT_DATE()
GROUP BY 
  month
ORDER BY 
  month
LIMIT 25;</t>
  </si>
  <si>
    <t>WITH monthly_users AS (
  SELECT 
    DATE_TRUNC(date, MONTH) as month,
    COUNT(DISTINCT user_id) as monthly_active_users
  FROM `momovn-mimir.MIMIR.iDeA_TRANS_CORE`
  WHERE 
    date &gt;= '2024-01-01'
    AND user_id IS NOT NULL
  GROUP BY 1
  ORDER BY 1
)
SELECT 
  FORMAT_DATE('%B %Y', month) as month,
  monthly_active_users,
  ROUND((monthly_active_users - LAG(monthly_active_users) OVER (ORDER BY month)) / LAG(monthly_active_users) OVER (ORDER BY month) * 100, 2) as mom_growth
FROM monthly_users</t>
  </si>
  <si>
    <t>How many users use APPLICATION STORE in March 2024?</t>
  </si>
  <si>
    <t>SELECT COUNT(DISTINCT user_id) as APPLICATION_STORE
FROM `momovn-mimir.MIMIR.iDeA_TRANS_CORE`
WHERE date_trunc(date, month) = "2024-03-01"
AND usecase = "APPLICATION STORE"</t>
  </si>
  <si>
    <t>SELECT COUNT(DISTINCT trans.user_id) AS user_count
FROM `momovn-mimir.MIMIR.iDeA_TRANS_CORE` AS trans
WHERE trans.usecase = 'APPLICATION STORE'
  AND DATE(trans.date) BETWEEN '2024-03-01' AND '2024-03-31';</t>
  </si>
  <si>
    <t>SELECT COUNT(DISTINCT t.user_id) AS user_count
FROM `momovn-mimir.MIMIR.iDeA_TRANS_CORE` t
WHERE t.usecase = 'APPLICATION STORE'
  AND EXTRACT(YEAR FROM t.date) = 2024
  AND EXTRACT(MONTH FROM t.date) = 3;</t>
  </si>
  <si>
    <t>SELECT COUNT(DISTINCT t.user_id) AS total_users
FROM `momovn-mimir.MIMIR.iDeA_TRANS_CORE` t
WHERE t.usecase = 'APPLICATION STORE'
  AND t.date BETWEEN '2024-03-01' AND '2024-03-31';</t>
  </si>
  <si>
    <t>SELECT COUNT(DISTINCT t.user_id) AS user_count
FROM `momovn-mimir.MIMIR.iDeA_TRANS_CORE` t
WHERE t.usecase = 'APPLICATION STORE'
  AND t.date BETWEEN '2024-03-01' AND '2024-03-31';</t>
  </si>
  <si>
    <t xml:space="preserve">SELECT COUNT(DISTINCT trans.user_id) AS user_count
FROM `momovn-mimir.MIMIR.iDeA_TRANS_CORE` trans
WHERE trans.usecase = 'APPLICATION STORE'
  AND DATE_TRUNC(trans.date, MONTH) = '2024-03-01'
</t>
  </si>
  <si>
    <t>SELECT COUNT(DISTINCT user_id) as unique_users
FROM `momovn-mimir.MIMIR.iDeA_TRANS_CORE`
WHERE usecase = 'APPLICATION STORE'
AND DATE_TRUNC(date, MONTH) = '2024-03-01'</t>
  </si>
  <si>
    <t>How many CASHIN transactions in March 2024?</t>
  </si>
  <si>
    <t>SELECT COUNT(DISTINCT tranid) as CASHIN
FROM `momovn-mimir.MIMIR.iDeA_TRANS_CORE`
WHERE date_trunc(date, month) = "2024-03-01"
AND transaction_type = "CASHIN"</t>
  </si>
  <si>
    <t>SELECT COUNT(*) AS cashin_transaction_count
FROM `momovn-mimir.MIMIR.iDeA_TRANS_CORE`
WHERE transaction_type = 'CASHIN' 
AND EXTRACT(YEAR FROM date) = 2024
AND EXTRACT(MONTH FROM date) = 3;</t>
  </si>
  <si>
    <t>SELECT COUNT(*) AS cashin_transactions_count
FROM `momovn-mimir.MIMIR.iDeA_TRANS_CORE`
WHERE transaction_type = 'CASHIN'
  AND DATE BETWEEN '2024-03-01' AND '2024-03-31';</t>
  </si>
  <si>
    <t xml:space="preserve">SELECT COUNT(*) as cashin_transaction_count
FROM `momovn-mimir.MIMIR.iDeA_TRANS_CORE`
WHERE DATE_TRUNC(date, MONTH) = '2024-03-01' 
AND transaction_type = 'CASHIN'
</t>
  </si>
  <si>
    <t xml:space="preserve">SELECT COUNT(*) AS cashin_transactions_count
FROM `momovn-mimir.MIMIR.iDeA_TRANS_CORE`
WHERE transaction_type = 'CASHIN'
AND DATE_TRUNC(date, MONTH) = '2024-03-01'
</t>
  </si>
  <si>
    <t xml:space="preserve">SELECT COUNT(*) AS cashin_transactions
FROM `momovn-mimir.MIMIR.iDeA_TRANS_CORE`
WHERE transaction_type = 'CASHIN'
  AND DATE BETWEEN '2024-03-01' AND '2024-03-31'
</t>
  </si>
  <si>
    <t>SELECT COUNT(*) as cashin_count
FROM `momovn-mimir.MIMIR.iDeA_TRANS_CORE`
WHERE transaction_type = 'CASHIN'
AND DATE_TRUNC(date, MONTH) = '2024-03-01'</t>
  </si>
  <si>
    <t>How many transactions make in GOOGLE merchant in March 2024?</t>
  </si>
  <si>
    <t>SELECT COUNT(DISTINCT tranid) as GOOGLE
FROM `momovn-mimir.MIMIR.iDeA_TRANS_CORE`
WHERE date_trunc(date, month) = "2024-03-01"
AND merchant = "GOOGLE"</t>
  </si>
  <si>
    <t>SELECT COUNT(tranid) AS transaction_count
FROM `momovn-mimir.MIMIR.iDeA_TRANS_CORE`
WHERE merchant = 'GOOGLE'
  AND DATE_TRUNC(DATE(date), MONTH) = '2024-03-01';</t>
  </si>
  <si>
    <t>SELECT COUNT(*) AS transaction_count
FROM `momovn-mimir.MIMIR.iDeA_TRANS_CORE`
WHERE merchant = 'GOOGLE' AND 
      DATE_TRUNC(date, MONTH) = '2024-03-01';</t>
  </si>
  <si>
    <t xml:space="preserve">SELECT COUNT(*) AS transaction_count
FROM `momovn-mimir.MIMIR.iDeA_TRANS_CORE`
WHERE merchant = 'GOOGLE'
  AND DATE_TRUNC(date, MONTH) = '2024-03-01'
</t>
  </si>
  <si>
    <t>SELECT COUNT(*) AS transaction_count
FROM `momovn-mimir.MIMIR.iDeA_TRANS_CORE`
WHERE merchant = 'GOOGLE'
  AND DATE_TRUNC(date, MONTH) = '2024-03-01'</t>
  </si>
  <si>
    <t xml:space="preserve">SELECT COUNT(*) as total_transactions
FROM `momovn-mimir.MIMIR.iDeA_TRANS_CORE`
WHERE merchant = 'GOOGLE' 
  AND DATE BETWEEN '2024-03-01' AND '2024-03-31'
</t>
  </si>
  <si>
    <t>SELECT COUNT(*) as transaction_count
FROM `momovn-mimir.MIMIR.iDeA_TRANS_CORE`
WHERE merchant = 'GOOGLE'
AND date BETWEEN '2024-03-01' AND '2024-03-31';</t>
  </si>
  <si>
    <t>MAU in Hà Nội city in 2024</t>
  </si>
  <si>
    <t>SELECT COUNT(DISTINCT core.user_id) AS MAU
FROM `momovn-mimir.MIMIR.iDeA_TRANS_CORE` AS core
JOIN `momovn-mimir.MIMIR.iDeA_TRANS_DEMOGRAPHIC` AS demo
ON core.user_id = demo.user_id
WHERE demo.city = 'Hà Nội' 
  AND DATE_TRUNC(core.date, MONTH) BETWEEN '2024-01-01' AND '2024-12-31';</t>
  </si>
  <si>
    <t>SELECT 
  EXTRACT(MONTH FROM date) AS month,
  COUNT(DISTINCT core.user_id) AS MAU
FROM `momovn-mimir.MIMIR.iDeA_TRANS_CORE` core
JOIN `momovn-mimir.MIMIR.iDeA_TRANS_DEMOGRAPHIC` demo
  ON core.user_id = demo.user_id
WHERE 
  demo.city = 'Hà Nội'
  AND EXTRACT(YEAR FROM core.date) = 2024
GROUP BY month
ORDER BY month;</t>
  </si>
  <si>
    <t>SELECT 
  COUNT(DISTINCT user_id) AS MAU
FROM 
  `momovn-mimir.MIMIR.iDeA_TRANS_CORE` AS core
JOIN 
  `momovn-mimir.MIMIR.iDeA_TRANS_DEMOGRAPHIC` AS demo
ON 
  core.user_id = demo.user_id
WHERE 
  demo.city = 'Hà Nội' 
  AND EXTRACT(YEAR FROM core.date) = 2024;</t>
  </si>
  <si>
    <t>SELECT 
  EXTRACT(MONTH FROM date) AS month,
  COUNT(DISTINCT t.user_id) AS mau
FROM 
  `momovn-mimir.MIMIR.iDeA_TRANS_CORE` t
JOIN 
  `momovn-mimir.MIMIR.iDeA_TRANS_DEMOGRAPHIC` d
ON 
  t.user_id = d.user_id
WHERE 
  d.city = 'Hà Nội' 
  AND EXTRACT(YEAR FROM t.date) = 2024
GROUP BY 
  month
ORDER BY 
  month
LIMIT 10;</t>
  </si>
  <si>
    <t>SELECT COUNT(DISTINCT user_id) AS MAU
FROM `momovn-mimir.MIMIR.iDeA_TRANS_CORE` AS core
JOIN `momovn-mimir.MIMIR.iDeA_TRANS_DEMOGRAPHIC` AS demo
ON core.user_id = demo.user_id
WHERE demo.city = 'Hà Nội'
AND EXTRACT(YEAR FROM core.date) = 2024</t>
  </si>
  <si>
    <t xml:space="preserve">SELECT COUNT(DISTINCT t.user_id) AS MAU
FROM `momovn-mimir.MIMIR.iDeA_TRANS_CORE` t
JOIN `momovn-mimir.MIMIR.iDeA_TRANS_DEMOGRAPHIC` d
ON t.user_id = d.user_id
WHERE d.city = 'Hà Nội'
AND EXTRACT(YEAR FROM t.date) = 2024
</t>
  </si>
  <si>
    <t xml:space="preserve">WITH monthly_users AS (
  SELECT 
    EXTRACT(MONTH FROM t.date) as month,
    COUNT(DISTINCT t.user_id) as monthly_active_users
  FROM `momovn-mimir.MIMIR.iDeA_TRANS_CORE` t
  JOIN `momovn-mimir.MIMIR.iDeA_TRANS_DEMOGRAPHIC` d
    ON t.user_id = d.user_id
  WHERE 
    EXTRACT(YEAR FROM t.date) = 2024
    AND d.city = 'Hà Nội'
  GROUP BY 
    EXTRACT(MONTH FROM t.date)
  ORDER BY 
    month
)
SELECT 
  month,
  monthly_active_users
FROM monthly_users;
      </t>
  </si>
  <si>
    <t>User by age group in April 2024</t>
  </si>
  <si>
    <t>SELECT age_group, COUNT(DISTINCT core.user_id) as user_count
FROM momovn-mimir.MIMIR.iDeA_TRANS_CORE AS core
JOIN momovn-mimir.MIMIR.iDeA_TRANS_DEMOGRAPHIC AS demo
ON core.user_id = demo.user_id
WHERE DATE_TRUNC(core.date, MONTH) = '2024-04-01'
GROUP BY age_group;</t>
  </si>
  <si>
    <t>SELECT 
    d.age_group,
    COUNT(DISTINCT t.user_id) AS user_count
FROM 
    `momovn-mimir.MIMIR.iDeA_TRANS_CORE` t
JOIN 
    `momovn-mimir.MIMIR.iDeA_TRANS_DEMOGRAPHIC` d
ON 
    t.user_id = d.user_id
WHERE 
    DATE(t.date) BETWEEN '2024-04-01' AND '2024-04-30'
GROUP BY 
    d.age_group
ORDER BY 
    d.age_group;</t>
  </si>
  <si>
    <t>SELECT 
  d.age_group,
  COUNT(DISTINCT d.user_id) AS user_count
FROM 
  `momovn-mimir.MIMIR.iDeA_TRANS_CORE` as c
JOIN 
  `momovn-mimir.MIMIR.iDeA_TRANS_DEMOGRAPHIC` as d
ON 
  c.user_id = d.user_id
WHERE 
  EXTRACT(YEAR FROM c.date) = 2024
  AND EXTRACT(MONTH FROM c.date) = 4
GROUP BY 
  d.age_group;</t>
  </si>
  <si>
    <t>SELECT 
  age_group, 
  COUNT(DISTINCT user_id) AS user_count
FROM 
  `momovn-mimir.MIMIR.iDeA_TRANS_DEMOGRAPHIC` AS demo
JOIN 
  `momovn-mimir.MIMIR.iDeA_TRANS_CORE` AS core
ON 
  demo.user_id = core.user_id
WHERE 
  DATE(core.date) BETWEEN '2024-04-01' AND '2024-04-30'
GROUP BY 
  age_group
ORDER BY 
  age_group
LIMIT 10;</t>
  </si>
  <si>
    <t>SELECT 
  d.age_group, 
  COUNT(DISTINCT d.user_id) AS user_count
FROM 
  `momovn-mimir.MIMIR.iDeA_TRANS_CORE` AS c
JOIN 
  `momovn-mimir.MIMIR.iDeA_TRANS_DEMOGRAPHIC` AS d
ON 
  c.user_id = d.user_id
WHERE 
  DATE_TRUNC(c.date, MONTH) = '2024-04-01'
GROUP BY 
  d.age_group
ORDER BY 
  d.age_group
LIMIT 
  10;</t>
  </si>
  <si>
    <t xml:space="preserve">SELECT 
  d.age_group, 
  COUNT(DISTINCT d.user_id) AS user_count
FROM 
  `momovn-mimir.MIMIR.iDeA_TRANS_CORE` c
JOIN 
  `momovn-mimir.MIMIR.iDeA_TRANS_DEMOGRAPHIC` d
ON 
  c.user_id = d.user_id
WHERE 
  c.date BETWEEN '2024-04-01' AND '2024-04-30'
GROUP BY 
  d.age_group
ORDER BY 
  d.age_group
LIMIT 25
</t>
  </si>
  <si>
    <t>SELECT 
  d.age_group,
  COUNT(DISTINCT t.user_id) as user_count
FROM `momovn-mimir.MIMIR.iDeA_TRANS_CORE` t
JOIN `momovn-mimir.MIMIR.iDeA_TRANS_DEMOGRAPHIC` d
  ON t.user_id = d.user_id
WHERE DATE_TRUNC(t.date, MONTH) = '2024-04-01'
GROUP BY d.age_group
ORDER BY d.age_group</t>
  </si>
  <si>
    <t>Retention rate of MoMo users in 2025</t>
  </si>
  <si>
    <t>with mau AS (
  SELECT DISTINCT date_trunc(date, month) as month, user_id 
  FROM `momovn-mimir.MIMIR.iDeA_TRANS_CORE`
), pre_month AS (
  SELECT month, user_id
         , LEAD(month, 1) OVER(PARTITION BY user_id ORDER BY month) as lead_month
  FROM mau
)
SELECT month
       , COUNT(DISTINCT IF(DATE_DIFF(lead_month, month, month)=1, user_id, null)) as retain
       , COUNT(DISTINCT user_id) as cur
       , COUNT(DISTINCT IF(DATE_DIFF(lead_month, month, month)=1, user_id, null))/COUNT(DISTINCT user_id) as retention_rate
FROM pre_month
GROUP BY 1
ORDER BY 1 DESC</t>
  </si>
  <si>
    <t>Please define the formular of retention rate like month or daily retention rate</t>
  </si>
  <si>
    <t>WITH users_2023 AS (
    SELECT DISTINCT user_id
    FROM `momovn-mimir.MIMIR.iDeA_TRANS_CORE`
    WHERE EXTRACT(YEAR FROM date) = 2023
),
users_2024 AS (
    SELECT DISTINCT user_id
    FROM `momovn-mimir.MIMIR.iDeA_TRANS_CORE`
    WHERE EXTRACT(YEAR FROM date) = 2024
),
retained_users AS (
    SELECT user_id
    FROM users_2023
    WHERE user_id IN (SELECT user_id FROM users_2024)
)
SELECT 
    (SELECT COUNT(*) FROM retained_users) AS retained_users_count,
    (SELECT COUNT(*) FROM users_2023) AS total_users_2023,
    (SELECT COUNT(*) FROM retained_users) * 100.0 / (SELECT COUNT(*) FROM users_2023) AS retention_rate
;</t>
  </si>
  <si>
    <t>The provided context does not contain information about retention metrics or dates beyond 2023. Therefore, it's insufficient to generate the SQL query needed to determine the retention rate of MoMo users in 2024. 
To gather the required context, you might need additional details such as user activity logs for 2023 and 2024, and specific criteria for determining user retention.</t>
  </si>
  <si>
    <t>WITH users_2023 AS (
  SELECT DISTINCT user_id
  FROM `momovn-mimir.MIMIR.iDeA_TRANS_CORE`
  WHERE EXTRACT(YEAR FROM date) = 2023
),
-- Step 2: Find the number of these users who were active in 2024
users_2024 AS (
  SELECT DISTINCT user_id
  FROM `momovn-mimir.MIMIR.iDeA_TRANS_CORE`
  WHERE EXTRACT(YEAR FROM date) = 2024
)
-- Step 3: Calculate the retention rate
SELECT
  COUNT(users_2024.user_id) / COUNT(users_2023.user_id) * 100 AS retention_rate_2024
FROM
  users_2023
LEFT JOIN
  users_2024
ON
  users_2023.user_id = users_2024.user_id;</t>
  </si>
  <si>
    <t>SELECT
  DATE_TRUNC(date, MONTH) AS month,
  COUNT(DISTINCT user_id) AS active_users
FROM 
  `momovn-mimir.MIMIR.iDeA_TRANS_CORE`
WHERE 
  EXTRACT(YEAR FROM date) = 2024
GROUP BY 
  month
ORDER BY 
  month
LIMIT 10;</t>
  </si>
  <si>
    <t xml:space="preserve">SELECT 
  COUNT(DISTINCT t1.user_id) AS retained_users,
  COUNT(DISTINCT t2.user_id) AS total_users,
  (COUNT(DISTINCT t1.user_id) / COUNT(DISTINCT t2.user_id)) * 100 AS retention_rate
FROM 
  `momovn-mimir.MIMIR.iDeA_TRANS_CORE` t1
RIGHT JOIN 
  `momovn-mimir.MIMIR.iDeA_TRANS_CORE` t2
ON 
  t1.user_id = t2.user_id
WHERE 
  t1.date BETWEEN '2024-01-01' AND '2024-12-31'
  AND t2.date &lt; '2024-01-01'
</t>
  </si>
  <si>
    <t>WITH monthly_active_users AS (
  SELECT DISTINCT
    user_id,
    DATE_TRUNC(date, MONTH) as month
  FROM `momovn-mimir.MIMIR.iDeA_TRANS_CORE`
  WHERE 
    EXTRACT(YEAR FROM date) = 2024
    AND user_id IS NOT NULL
),
retention_calculation AS (
  SELECT
    current_month.month as current_month,
    next_month.month as next_month,
    COUNT(DISTINCT current_month.user_id) as total_users,
    COUNT(DISTINCT next_month.user_id) as retained_users
  FROM monthly_active_users current_month
  LEFT JOIN monthly_active_users next_month
    ON current_month.user_id = next_month.user_id
    AND next_month.month = DATE_ADD(current_month.month, INTERVAL 1 MONTH)
  GROUP BY current_month.month, next_month.month
  ORDER BY current_month.month
)
SELECT
  FORMAT_DATE('%B %Y', current_month) as month,
  total_users,
  retained_users,
  ROUND(SAFE_DIVIDE(retained_users, total_users) * 100, 2) as retention_rate_percentage
FROM retention_calculation
WHERE current_month &lt; DATE_TRUNC(CURRENT_DATE(), MONTH)</t>
  </si>
  <si>
    <t>Viết chưa tới nhưng cũng tốt hơn model cũ, gần chạm tới công thức retention rate rồi</t>
  </si>
  <si>
    <t>Cohort rate of MoMo users in 2024</t>
  </si>
  <si>
    <t>WITH neww as (
  SELECT user_id, MIN(DATE_TRUNC(date, month)) as first_month
  FROM `momovn-mimir.MIMIR.iDeA_TRANS_CORE`
  GROUP BY 1
), curr as (
  SELECT DISTINCT user_id, DATE_TRUNC(date,month) as active_month
  FROM `momovn-mimir.MIMIR.iDeA_TRANS_CORE`
), pre_final as (
  SELECT curr.user_id, curr.active_month, neww.first_month, DATE_DIFF(curr.active_month, neww.first_month, month) as month_diff
  FROM curr
  LEFT JOIN neww USING(user_id)
), frs as (
  SELECT first_month, COUNT(DISTINCT user_id) as user
  FROM neww
  GROUP BY 1
), final as (
  SELECT first_month, month_diff, COUNT(DISTINCT user_id) AS user
  FROM pre_final
  GROUP BY 1,2
)
SELECT final.*, frs.user as first_user, final.user/frs.user as cohort_rate
FROM final
LEFT JOIN frs USING(first_month)
ORDER BY final.first_month, final.month_diff</t>
  </si>
  <si>
    <t>Please define detail formular of cohort rate</t>
  </si>
  <si>
    <t>WITH initial_users AS (
    SELECT 
        user_id,
        MIN(DATE(date)) AS first_transaction_date
    FROM 
        `momovn-mimir.MIMIR.iDeA_TRANS_CORE`
    WHERE
        EXTRACT(YEAR FROM DATE(date)) = 2024
    GROUP BY 
        user_id
),
cohort_activity AS (
    SELECT
        iu.user_id,
        EXTRACT(MONTH FROM iu.first_transaction_date) AS cohort_month,
        EXTRACT(MONTH FROM DATE(t.date)) AS active_month,
        COUNT(DISTINCT t.tranid) AS transaction_count
    FROM
        initial_users AS iu
    JOIN
        `momovn-mimir.MIMIR.iDeA_TRANS_CORE` AS t
    ON 
        iu.user_id = t.user_id
    WHERE
        EXTRACT(YEAR FROM DATE(t.date)) = 2024
    GROUP BY
        iu.user_id, cohort_month, active_month
)
SELECT
    cohort_month,
    active_month,
    COUNT(DISTINCT user_id) AS active_users,
    COUNT(DISTINCT user_id) * 100.0 / SUM(COUNT(DISTINCT user_id)) OVER (PARTITION BY cohort_month) AS retention_rate
FROM
    cohort_activity
GROUP BY
    cohort_month, active_month
ORDER BY
    cohort_month, active_month;</t>
  </si>
  <si>
    <t>The provided context does not contain information about the cohort definitions or the specific date range for 2024. Therefore, it is insufficient to generate the required SQL query.
To accurately generate this query, please provide:
1. Definition of what constitutes a "cohort" (e.g., users who made their first transaction in a particular month).
2. The specific date range for 2024 (e.g., from January 1st, 2024 to December 31st, 2024).
3. Specific metrics to determine the "cohort rate" (e.g., retention rate, churn rate).
Once this information is provided, a more precise SQL query can be generated.</t>
  </si>
  <si>
    <t>SELECT
  EXTRACT(YEAR FROM date) AS year,
  EXTRACT(MONTH FROM date) AS month,
  COUNT(DISTINCT user_id) AS cohort_size
FROM
  `momovn-mimir.MIMIR.iDeA_TRANS_CORE`
WHERE
  EXTRACT(YEAR FROM date) = 2024
GROUP BY
  year, month
ORDER BY
  year, month
LIMIT 10;</t>
  </si>
  <si>
    <t>SELECT 
  COUNT(DISTINCT user_id) AS user_count, 
  EXTRACT(YEAR FROM date) AS year 
FROM 
  `momovn-mimir.MIMIR.iDeA_TRANS_CORE` 
WHERE 
  EXTRACT(YEAR FROM date) = 2024 
GROUP BY 
  year 
ORDER BY 
  year 
LIMIT 10;</t>
  </si>
  <si>
    <t>SELECT 
  DATE_TRUNC(date, MONTH) AS cohort_month,
  COUNT(DISTINCT user_id) AS num_users
FROM 
  `momovn-mimir.MIMIR.iDeA_TRANS_CORE`
WHERE 
  EXTRACT(YEAR FROM date) = 2024
GROUP BY 
  cohort_month
ORDER BY 
  cohort_month
LIMIT 25;</t>
  </si>
  <si>
    <t>WITH user_first_transaction AS (
  SELECT 
    user_id,
    DATE_TRUNC(date, MONTH) as cohort_month,
    MIN(DATE_TRUNC(date, MONTH)) OVER (PARTITION BY user_id) as first_month
  FROM `momovn-mimir.MIMIR.iDeA_TRANS_CORE`
  WHERE user_id IS NOT NULL
    AND EXTRACT(YEAR FROM date) = 2024
),
cohort_size AS (
  SELECT 
    first_month,
    COUNT(DISTINCT user_id) as cohort_users
  FROM user_first_transaction
  GROUP BY first_month
),
retention_by_month AS (
  SELECT 
    first_month,
    cohort_month,
    COUNT(DISTINCT user_id) as active_users,
    DATE_DIFF(cohort_month, first_month, MONTH) as month_number
  FROM user_first_transaction
  GROUP BY first_month, cohort_month
)
SELECT 
  r.first_month,
  r.month_number,
  c.cohort_users,
  r.active_users,
  ROUND(100.0 * r.active_users / c.cohort_users, 2) as retention_rate
FROM retention_by_month r
JOIN cohort_size c ON r.first_month = c.first_month
WHERE r.month_number &gt;= 0
ORDER BY r.first_month, r.month_number;</t>
  </si>
  <si>
    <t>Gần tính đúng rồi, chưa pivot table thôi, bảng bị dài hơn limit</t>
  </si>
  <si>
    <t>Tổng Transactions của nhóm Light User của cate ADS PAYMENT trong 3 tháng quý 2 năm 2024</t>
  </si>
  <si>
    <t>DLS ONLINE</t>
  </si>
  <si>
    <t xml:space="preserve">SELECT 
  sum(TRANS) AS total_transactions
FROM 
  momovn-prod.BU_ECOM.USER_SPENDING_SEGMENT_BY_CATE_V3
WHERE 
  USER_SEGMENT = '3. Light' AND 
  CATE = 'ADS PAYMENT' AND 
  MONTH BETWEEN '2024-04-01' AND '2024-06-30'
  </t>
  </si>
  <si>
    <t>SELECT
    COUNT(*) AS total_transactions
FROM
    `momovn-mimir.MIMIR.DLS_ALL_TRANS_V3_1` trans
JOIN 
    `momovn-mimir.MIMIR.USER_SPENDING_SEGMENT_BY_CATE_V3` segment
ON
    trans.USER_ID = segment.USER_ID 
    AND trans.MONTH = segment.MONTH
    AND trans.CATE = segment.CATE
WHERE
    segment.USER_SEGMENT = 'Light' 
    AND trans.CATE = 'ADS PAYMENT' 
    AND trans.DATE BETWEEN '2024-04-01' AND '2024-06-30';</t>
  </si>
  <si>
    <t>SELECT
    SUM(TRANS) AS Total_Transactions
FROM
    `momovn-mimir.MIMIR.USER_SPENDING_SEGMENT_BY_CATE_V3`
WHERE
    USER_SEGMENT = 'Light'
    AND CATE = 'ADS PAYMENT'
    AND MONTH BETWEEN '2024-04-01' AND '2024-06-30';</t>
  </si>
  <si>
    <t xml:space="preserve">SELECT 
  COUNT(*) AS total_transactions
FROM 
  `momovn-mimir.MIMIR.USER_SPENDING_SEGMENT_BY_CATE_V3` us
JOIN 
  `momovn-mimir.MIMIR.DLS_ALL_TRANS_V3_1` trans
ON 
  us.USER_ID = trans.USER_ID 
  AND us.MONTH = trans.DATE
  AND us.CATE = trans.CATE
WHERE 
  us.CATE = 'ADS PAYMENT'
  AND us.USER_SEGMENT = '3. Light'
  AND EXTRACT(YEAR FROM us.MONTH) = 2024
  AND EXTRACT(QUARTER FROM us.MONTH) = 2
LIMIT 10
</t>
  </si>
  <si>
    <t xml:space="preserve">SELECT 
  MONTH, 
  SUM(TRANS) AS TOTAL_TRANS
FROM `momovn-mimir.MIMIR.USER_SPENDING_SEGMENT_BY_CATE_V3`
WHERE USER_SEGMENT = '3. Light' 
  AND CATE = 'ADS PAYMENT'
  AND MONTH BETWEEN '2024-04-01' AND '2024-06-30'
GROUP BY MONTH
ORDER BY MONTH
LIMIT 10
</t>
  </si>
  <si>
    <t xml:space="preserve">SELECT 
  COUNT(*) AS total_transactions
FROM 
  `momovn-prod.BU_ECOM.USER_SPENDING_SEGMENT_BY_CATE_V3`
WHERE 
  USER_SEGMENT = '3. Light' AND 
  CATE = 'ADS PAYMENT' AND 
  MONTH BETWEEN '2024-04-01' AND '2024-06-30'
</t>
  </si>
  <si>
    <r>
      <rPr>
        <rFont val="Arial"/>
        <color theme="1"/>
      </rPr>
      <t xml:space="preserve">SELECT 
</t>
    </r>
    <r>
      <rPr>
        <rFont val="Arial"/>
        <b/>
        <color theme="1"/>
      </rPr>
      <t xml:space="preserve">  COUNT(*) AS total_transactions</t>
    </r>
    <r>
      <rPr>
        <rFont val="Arial"/>
        <color theme="1"/>
      </rPr>
      <t xml:space="preserve">
FROM 
  `momovn-prod.BU_ECOM.USER_SPENDING_SEGMENT_BY_CATE_V3`
WHERE 
  USER_SEGMENT = '3. Light' AND 
  CATE = 'ADS PAYMENT' AND 
  MONTH BETWEEN '2024-04-01' AND '2024-06-30'
</t>
    </r>
  </si>
  <si>
    <r>
      <rPr>
        <rFont val="Arial"/>
        <color theme="1"/>
      </rPr>
      <t xml:space="preserve">SELECT 
</t>
    </r>
    <r>
      <rPr>
        <rFont val="Arial"/>
        <b/>
        <color theme="1"/>
      </rPr>
      <t xml:space="preserve">  SUM(TRANS) as total_transactions</t>
    </r>
    <r>
      <rPr>
        <rFont val="Arial"/>
        <color theme="1"/>
      </rPr>
      <t xml:space="preserve">
FROM `momovn-prod.BU_ECOM.USER_SPENDING_SEGMENT_BY_CATE_V3`
WHERE USER_SEGMENT = '3. Light'
  AND CATE = 'ADS PAYMENT'
  AND MONTH BETWEEN '2024-04-01' AND '2024-06-01'</t>
    </r>
  </si>
  <si>
    <t>SUM trans trên bảng User segment, nhìn nhận level data tốt hơn</t>
  </si>
  <si>
    <t>Tổng GMV trong tháng 4 năm 2024 của User có các amount = 19000 trong tháng 6</t>
  </si>
  <si>
    <t>with target_user as (
select distinct user_id
from momovn-prod.BU_ECOM.DLS_ALL_TRANS_V3_1
where DATE_TRUNC(date, month) = '2024-06-01' and gmv = 19000
)
select
sum(gmv) as total_gmv
from target_user t1
inner join momovn-prod.BU_ECOM.DLS_ALL_TRANS_V3_1 t2 using (user_id)
where DATE_TRUNC(t2.date, month) = '2024-04-01'</t>
  </si>
  <si>
    <t>WITH users_with_specific_amount AS (
    SELECT DISTINCT USER_ID
    FROM `momovn-mimir.MIMIR.DLS_ALL_TRANS_V3_1`
    WHERE EXTRACT(MONTH FROM DATE) = 6 AND EXTRACT(YEAR FROM DATE) = 2024 AND GMV = 19000
)
SELECT SUM(GMV) AS total_gmv
FROM `momovn-mimir.MIMIR.DLS_ALL_TRANS_V3_1`
WHERE EXTRACT(MONTH FROM DATE) = 4 AND EXTRACT(YEAR FROM DATE) = 2024
  AND USER_ID IN (SELECT USER_ID FROM users_with_specific_amount)
;</t>
  </si>
  <si>
    <t>WITH USER_IDS_JUNE AS (
    SELECT USER_ID
    FROM `momovn-mimir.MIMIR.DLS_ALL_TRANS_V3_1`
    WHERE DATE &gt;= '2024-06-01' AND DATE &lt; '2024-07-01' AND GMV = 19000
)
SELECT SUM(GMV) AS TOTAL_GMV
FROM `momovn-mimir.MIMIR.DLS_ALL_TRANS_V3_1`
WHERE DATE &gt;= '2024-04-01' AND DATE &lt; '2024-05-01' 
  AND USER_ID IN (SELECT USER_ID FROM USER_IDS_JUNE);</t>
  </si>
  <si>
    <t>SELECT SUM(GMV) AS total_GMV
FROM `momovn-mimir.MIMIR.DLS_ALL_TRANS_V3_1`
WHERE DATE BETWEEN '2024-04-01' AND '2024-04-30'
AND USER_ID IN (
    SELECT DISTINCT USER_ID
    FROM `momovn-mimir.MIMIR.DLS_ALL_TRANS_V3_1`
    WHERE DATE BETWEEN '2024-06-01' AND '2024-06-30'
    AND GMV = 19000
);</t>
  </si>
  <si>
    <t>SELECT SUM(GMV) AS total_gmv_april_2024
FROM `momovn-mimir.MIMIR.DLS_ALL_TRANS_V3_1`
WHERE DATE BETWEEN '2024-04-01' AND '2024-04-30'
AND USER_ID IN (
    SELECT DISTINCT USER_ID
    FROM `momovn-mimir.MIMIR.DLS_ALL_TRANS_V3_1`
    WHERE DATE BETWEEN '2024-06-01' AND '2024-06-30'
    AND GMV = 19000
)</t>
  </si>
  <si>
    <t xml:space="preserve">SELECT SUM(GMV) as total_gmv
FROM `momovn-prod.BU_ECOM.DLS_ALL_TRANS_V3_1`
WHERE MONTH = '2024-04-01' 
AND USER_ID IN (
    SELECT DISTINCT USER_ID
    FROM `momovn-prod.BU_ECOM.DLS_ALL_TRANS_V3_1`
    WHERE MONTH = '2024-06-01' AND GMV = 19000
)
</t>
  </si>
  <si>
    <t>WITH June_Users AS (
  SELECT DISTINCT USER_ID
  FROM `momovn-prod.BU_ECOM.DLS_ALL_TRANS_V3_1`
  WHERE EXTRACT(MONTH FROM DATE) = 6 
  AND EXTRACT(YEAR FROM DATE) = 2024
  AND GMV = 19000
)
SELECT 
  SUM(t.GMV) as Total_GMV,
  COUNT(DISTINCT t.USER_ID) as User_Count
FROM `momovn-prod.BU_ECOM.DLS_ALL_TRANS_V3_1` t
INNER JOIN June_Users ju ON t.USER_ID = ju.USER_ID
WHERE EXTRACT(MONTH FROM t.DATE) = 4
AND EXTRACT(YEAR FROM t.DATE) = 2024</t>
  </si>
  <si>
    <t>Số user chỉ dùng nguồn tiền NHLK từ tháng 2/2024 đến tháng 5/2024</t>
  </si>
  <si>
    <t>with raw as (
select user_id, count (distinct order_id) as total_trans, count (distinct case when money_source = 2 then order_id end) as banklink_trans
from `momovn-prod.BU_ECOM.DLS_ALL_TRANS_V3_1`
where DATE_TRUNC(date,month) &gt;= '2024-02-01' and DATE_TRUNC(date,month) &lt;= '2024-05-01'
group by 1
having total_trans = banklink_trans
)
select count (distinct user_id)
from raw</t>
  </si>
  <si>
    <t>SELECT COUNT(DISTINCT USER_ID) AS user_count
FROM `momovn-mimir.MIMIR.DLS_ALL_TRANS_V3_1`
WHERE DATE BETWEEN '2024-02-01' AND '2024-05-31'
  AND MONEY_SOURCE = 'NHLK'
  AND USER_ID NOT IN (
    SELECT DISTINCT USER_ID
    FROM `momovn-mimir.MIMIR.DLS_ALL_TRANS_V3_1`
    WHERE DATE BETWEEN '2024-02-01' AND '2024-05-31'
      AND MONEY_SOURCE != 'NHLK'
  );</t>
  </si>
  <si>
    <t>SELECT COUNT(DISTINCT USER_ID) AS user_count
FROM `momovn-mimir.MIMIR.DLS_ALL_TRANS_V3_1`
WHERE DATE BETWEEN '2024-02-01' AND '2024-05-31' 
  AND MONEY_SOURCE = 'NHLK';</t>
  </si>
  <si>
    <t>SELECT USER_ID
FROM `momovn-mimir.MIMIR.DLS_ALL_TRANS_V3_1`
WHERE DATE BETWEEN '2024-02-01' AND '2024-05-31'
AND MONEY_SOURCE = 2
GROUP BY USER_ID
HAVING COUNT(DISTINCT MONEY_SOURCE) = 1
ORDER BY USER_ID
LIMIT 10;</t>
  </si>
  <si>
    <t>SELECT 
  USER_ID
FROM 
  `momovn-mimir.MIMIR.DLS_ALL_TRANS_V3_1`
WHERE 
  MONEY_SOURCE = 2
  AND DATE &gt;= '2024-02-01' 
  AND DATE &lt;= '2024-05-31'
GROUP BY 
  USER_ID</t>
  </si>
  <si>
    <t>SELECT DISTINCT USER_ID
FROM `momovn-prod.BU_ECOM.DLS_ALL_TRANS_V3_1`
WHERE MONEY_SOURCE_NAME = 'NHLK'
  AND DATE BETWEEN '2024-02-01' AND '2024-05-31'
ORDER BY USER_ID
LIMIT 25;</t>
  </si>
  <si>
    <t>WITH all_users_payment_methods AS (
  SELECT 
    USER_ID,
    COUNT(DISTINCT MONEY_SOURCE_NAME) as payment_methods_count,
    ARRAY_AGG(DISTINCT MONEY_SOURCE_NAME) as payment_methods
  FROM `momovn-prod.BU_ECOM.DLS_ALL_TRANS_V3_1`
  WHERE DATE BETWEEN '2024-02-01' AND '2024-05-31'
    AND USER_ID IS NOT NULL
  GROUP BY USER_ID
)
SELECT 
  COUNT(DISTINCT USER_ID) as exclusive_banklink_users
FROM all_users_payment_methods
WHERE payment_methods_count = 1 
  AND payment_methods[OFFSET(0)] = 'Banklink'</t>
  </si>
  <si>
    <t>số lượng transaction Facebook ads ngày 26/9/2024</t>
  </si>
  <si>
    <t>SELECT
COUNT(DISTINCT ORDER_ID) AS TOTAL_TRANSACTIONS
FROM `momovn-prod.BU_ECOM.DLS_ALL_TRANS_V3_1`
WHERE DATE = '2024-09-26'
AND MERCHANT = 'FACEBOOK'
AND CATE = "ADS PAYMENT"</t>
  </si>
  <si>
    <t>Định nghĩa Facebook Ads có phải là Merchant Facebook và Cate là Ads payment không?</t>
  </si>
  <si>
    <t>SELECT COUNT(*) AS transaction_count
FROM `momovn-mimir.MIMIR.DLS_ALL_TRANS_V3_1`
WHERE DATE = '2024-09-26'
  AND PARTNER_CODE = 'Facebook Ads';</t>
  </si>
  <si>
    <t>SELECT COUNT(*) AS transaction_count
FROM `momovn-mimir.MIMIR.DLS_ALL_TRANS_V3_1`
WHERE DATE = '2024-09-26' AND SERVICE_CODE = 'Facebook ads';</t>
  </si>
  <si>
    <t>SELECT COUNT(*) AS transaction_count
FROM `momovn-mimir.MIMIR.DLS_ALL_TRANS_V3_1`
WHERE DATE = '2024-09-26'
  AND PARTNER_CODE = 'Facebook'
LIMIT 10;</t>
  </si>
  <si>
    <t>SELECT COUNT(*) AS transaction_count
FROM `momovn-mimir.MIMIR.DLS_ALL_TRANS_V3_1`
WHERE DATE = '2024-09-26' AND MERCHANT = 'FACEBOOK ADS'</t>
  </si>
  <si>
    <t xml:space="preserve">SELECT COUNT(*) as transaction_count
FROM `momovn-prod.BU_ECOM.DLS_ALL_TRANS_V3_1`
WHERE DATE = '2024-09-26' AND MERCHANT = 'Facebook ads'
</t>
  </si>
  <si>
    <t>SELECT 
  COUNT(*) as transaction_count
FROM `momovn-prod.BU_ECOM.DLS_ALL_TRANS_V3_1`
WHERE DATE = '2024-09-26'
  AND MERCHANT = 'FACEBOOK'</t>
  </si>
  <si>
    <t>Đỡ sai hơn</t>
  </si>
  <si>
    <t>Nhóm người dùng Light của Ads Payment tháng 8/2024 bao nhiêu</t>
  </si>
  <si>
    <t>select count(distinct user_id) as user
from `momovn-prod.BU_ECOM.USER_SPENDING_SEGMENT_BY_CATE_V3`
where month = '2024-08-01' and cate = 'ADS PAYMENT' and USER_SEGMENT = '3. Light'</t>
  </si>
  <si>
    <t>SELECT COUNT(USER_ID) AS Light_User_Count
FROM `momovn-mimir.MIMIR.USER_SPENDING_SEGMENT_BY_CATE_V3`
WHERE CATE = 'Ads Payment'
AND MONTH = '2024-08'
AND USER_SEGMENT = 'Light';</t>
  </si>
  <si>
    <t>SELECT COUNT(*) AS Light_User_Count
FROM `momovn-mimir.MIMIR.USER_SPENDING_SEGMENT_BY_CATE_V3`
WHERE CATE = 'Ads Payment'
  AND MONTH = '2024-08-01'
  AND USER_SEGMENT = 'Light';</t>
  </si>
  <si>
    <t xml:space="preserve">SELECT COUNT(DISTINCT USER_ID) AS Light_User_Count
FROM `momovn-mimir.MIMIR.USER_SPENDING_SEGMENT_BY_CATE_V3`
WHERE CATE = 'Ads Payment' 
  AND USER_SEGMENT = '3. Light'
  AND FORMAT_DATE('%Y-%m', MONTH) = '2024-08'
</t>
  </si>
  <si>
    <t xml:space="preserve">SELECT COUNT(USER_ID) AS light_user_count
FROM `momovn-mimir.MIMIR.USER_SPENDING_SEGMENT_BY_CATE_V3`
WHERE CATE = 'ADS PAYMENT'
  AND USER_SEGMENT = '3. Light'
  AND MONTH = '2024-08-01'
</t>
  </si>
  <si>
    <t>SELECT COUNT(DISTINCT USER_ID) AS light_user_count
FROM `momovn-prod.BU_ECOM.USER_SPENDING_SEGMENT_BY_CATE_V3`
WHERE MONTH = '2024-08-01'
AND CATE = 'Ads Payment'
AND USER_SEGMENT = '3. Light';</t>
  </si>
  <si>
    <t>SELECT 
  COUNT(DISTINCT USER_ID) as light_users_count
FROM `momovn-prod.BU_ECOM.USER_SPENDING_SEGMENT_BY_CATE_V3`
WHERE MONTH = '2024-08-01'
  AND CATE = 'ADS PAYMENT'
  AND USER_SEGMENT = '3. Light';</t>
  </si>
  <si>
    <t xml:space="preserve">Nhìn nhận </t>
  </si>
  <si>
    <t>Rev của Ads Payment tháng 9/2024</t>
  </si>
  <si>
    <t>SELECT
SUM(NET_REV) AS TOTAL_REV
FROM momovn-prod.BU_ECOM.DLS_ALL_TRANS_V3_1
WHERE DATE_TRUNC(DATE, MONTH) = '2024-09-01'
AND CATE = 'ADS PAYMENT'</t>
  </si>
  <si>
    <t>SELECT SUM(TOTAL_REV) as REV
FROM `momovn-mimir.MIMIR.DLS_ALL_TRANS_V3_1`
WHERE CATE = 'Ads Payment'
  AND EXTRACT(YEAR FROM DATE) = 2024
  AND EXTRACT(MONTH FROM DATE) = 9;</t>
  </si>
  <si>
    <t>SELECT SUM(TOTAL_REV) AS total_revenue
FROM `momovn-mimir.MIMIR.DLS_ALL_TRANS_V3_1`
WHERE CATE = 'Ads Payment'
  AND EXTRACT(YEAR FROM DATE) = 2024
  AND EXTRACT(MONTH FROM DATE) = 9;</t>
  </si>
  <si>
    <t xml:space="preserve">SELECT 
  DATE,
  TOTAL_REV
FROM 
  `momovn-mimir.MIMIR.DLS_ALL_TRANS_V3_1`
WHERE 
  CATE = 'ADS PAYMENT' AND 
  EXTRACT(MONTH FROM DATE) = 9 AND 
  EXTRACT(YEAR FROM DATE) = 2024
ORDER BY DATE
LIMIT 10
</t>
  </si>
  <si>
    <t>SELECT SUM(REV) AS total_rev
FROM `momovn-mimir.MIMIR.DLS_ALL_TRANS_V3_1`
WHERE CATE = 'ADS PAYMENT' AND DATE &gt;= '2024-09-01' AND DATE &lt; '2024-10-01'
LIMIT 10;</t>
  </si>
  <si>
    <t>SELECT
SUM(tbl_dls.NET_REV) AS total_net_rev
FROM
momovn-prod.BU_ECOM.DLS_ALL_TRANS_V3_1 AS tbl_dls
WHERE
tbl_dls.CATE = "ADS PAYMENT"
AND EXTRACT(MONTH FROM tbl_dls.DATE) = 9
AND EXTRACT(YEAR FROM tbl_dls.DATE) = 2024
LIMIT 25</t>
  </si>
  <si>
    <t>SELECT 
  COALESCE(SUM(NET_REV), 0) as TOTAL_NET_REV,
  COALESCE(COUNT(DISTINCT ORDER_ID), 0) as TOTAL_TRANSACTIONS,
  COALESCE(COUNT(DISTINCT USER_ID), 0) as TOTAL_USERS
FROM `momovn-prod.BU_ECOM.DLS_ALL_TRANS_V3_1`
WHERE MONTH = '2024-09-01'
  AND CATE = 'ADS PAYMENT';</t>
  </si>
  <si>
    <t>how many user using airtime in Apr 2024</t>
  </si>
  <si>
    <t>Airtime</t>
  </si>
  <si>
    <t>SELECT count(distinct user_payment) as user
FROM `project-5400504384186300846.BU_UTILITIES_TELCO.AIRTIME_DETAILS`
WHERE date_trunc(date,month) = "2024-04-01"</t>
  </si>
  <si>
    <t>SELECT COUNT(DISTINCT user_payment) AS user_count
FROM project-5400504384186300846.BU_UTILITIES_TELCO.AIRTIME_DETAILS
WHERE DATE_TRUNC(date, MONTH) = '2024-04'</t>
  </si>
  <si>
    <t>SELECT COUNT(DISTINCT user_payment) AS user_count
FROM `project-5400504384186300846.BU_UTILITIES_TELCO.AIRTIME_DETAILS`
WHERE EXTRACT(MONTH FROM date) = 4 AND EXTRACT(YEAR FROM date) = 2024;</t>
  </si>
  <si>
    <t>SELECT 
  COUNT(DISTINCT user_payment) as total_users
FROM `project-5400504384186300846.BU_UTILITIES_TELCO.AIRTIME_DETAILS`
WHERE month_active = '2024-04-01'
AND statusid = 2;</t>
  </si>
  <si>
    <t>GMV trend by month in 2024 of Airtime</t>
  </si>
  <si>
    <t>SELECT date_trunc(date,month) as month, sum(amount) as gmv
FROM `project-5400504384186300846.BU_UTILITIES_TELCO.AIRTIME_DETAILS`
WHERE date &gt;= "2024-01-01"
GROUP BY 1
ORDER BY 1 DESC
LIMIT 25</t>
  </si>
  <si>
    <t>SELECT
DATE_TRUNC(date, MONTH) AS month,
SUM(gmv_mtd) AS total_gmv
FROM
project-5400504384186300846.BU_UTILITIES_TELCO.AIRTIME_DETAILS
WHERE
statusid = 2 AND
EXTRACT(YEAR FROM date) = 2024
GROUP BY
month
ORDER BY
month;</t>
  </si>
  <si>
    <t>SELECT 
  month_active,
  SUM(GMV) AS total_gmv
FROM 
  `project-5400504384186300846.BU_UTILITIES_TELCO.AIRTIME_SEGMENT_USER`
WHERE 
  EXTRACT(YEAR FROM month_active) = 2024
GROUP BY 
  month_active
ORDER BY 
  month_active
LIMIT 25;</t>
  </si>
  <si>
    <t>SELECT 
  month_active,
  SUM(amount) as total_gmv,
  COUNT(DISTINCT user_payment) as total_users,
  SUM(amount)/COUNT(DISTINCT user_payment) as gmv_per_user
FROM `project-5400504384186300846.BU_UTILITIES_TELCO.AIRTIME_DETAILS`
WHERE EXTRACT(YEAR FROM month_active) = 2024
  AND statusid = 2
GROUP BY month_active
ORDER BY month_active ASC;</t>
  </si>
  <si>
    <t>Tại sao nó biết lấy statusid=2 ta
Chọn đúng bảng hơn</t>
  </si>
  <si>
    <t>How many fail transaction in Mar 2024</t>
  </si>
  <si>
    <t>SELECT count(distinct id) as transaction
FROM `project-5400504384186300846.BU_UTILITIES_TELCO.AIRTIME_DETAILS`
WHERE date_trunc(date,month) = "2024-03-01"
and statusid =6</t>
  </si>
  <si>
    <t>The provided context is insufficient. The AIRTIME_DETAILS table contains data only up to the present date and does not include data for March 2024. Therefore, it is not possible to generate a query to retrieve the number of failed transactions in March 2024 based on the given dataset.</t>
  </si>
  <si>
    <t xml:space="preserve">SELECT COUNT(*) as fail_transaction_count
FROM `project-5400504384186300846.BU_UTILITIES_TELCO.AIRTIME_DETAILS`
WHERE statusid = 6
AND date BETWEEN '2024-03-01' AND '2024-03-31'
</t>
  </si>
  <si>
    <t>SELECT COUNT(*) as failed_transactions
FROM `project-5400504384186300846.BU_UTILITIES_TELCO.AIRTIME_DETAILS`
WHERE statusid = 6 
AND DATE_TRUNC(date, MONTH) = '2024-03-01';</t>
  </si>
  <si>
    <t>không count distinct id, cái này lỗi DA không clean bảng nên tạm cho nó đúng</t>
  </si>
  <si>
    <t>The most popular mobile network in Airtime in 2024</t>
  </si>
  <si>
    <t>SELECT cate, count(distinct id) as transaction
FROM `project-5400504384186300846.BU_UTILITIES_TELCO.AIRTIME_DETAILS`
WHERE date_trunc(date,month) &gt;= "2024-01-01"
GROUP BY 1
ORDER BY 2 DESC
LIMIT 1</t>
  </si>
  <si>
    <t>SELECT cate, COUNT(*) as transaction_count
FROM project-5400504384186300846.BU_UTILITIES_TELCO.AIRTIME_DETAILS
WHERE statusid = 2 AND EXTRACT(YEAR FROM date) = 2024
GROUP BY cate
ORDER BY transaction_count DESC
LIMIT 1;</t>
  </si>
  <si>
    <t>SELECT cate, COUNT(id) as transaction_count
FROM `project-5400504384186300846.BU_UTILITIES_TELCO.AIRTIME_DETAILS`
WHERE EXTRACT(YEAR FROM date) = 2024
GROUP BY cate
ORDER BY transaction_count DESC
LIMIT 1;</t>
  </si>
  <si>
    <t>WITH network_counts AS (
  SELECT 
    cate as network,
    COUNT(*) as transaction_count,
    SUM(amount) as total_amount
  FROM `project-5400504384186300846.BU_UTILITIES_TELCO.AIRTIME_DETAILS`
  WHERE EXTRACT(YEAR FROM date) = 2024
    AND statusid = 2
    AND cate IS NOT NULL
  GROUP BY cate
)
SELECT 
  network,
  transaction_count,
  total_amount,
  ROUND(transaction_count * 100.0 / SUM(transaction_count) OVER(), 2) as percentage_of_transactions
FROM network_counts
ORDER BY transaction_count DESC;</t>
  </si>
  <si>
    <t>Top 3 productid bought the most of Viettel in 2024</t>
  </si>
  <si>
    <t>SELECT goi_cuoc, count(distinct id) as transaction
FROM `project-5400504384186300846.BU_UTILITIES_TELCO.AIRTIME_DETAILS`
WHERE date_trunc(date,month) &gt;= "2024-01-01"
AND cate = "Viettel"
GROUP BY 1
ORDER BY 2 DESC
LIMIT 3</t>
  </si>
  <si>
    <t>SELECT goi_cuoc AS productid, SUM(quantity) AS total_quantity
FROM project-5400504384186300846.BU_UTILITIES_TELCO.AIRTIME_DETAILS
WHERE cate = 'Viettel' AND statusid = 2 AND EXTRACT(YEAR FROM date) = 2024
GROUP BY goi_cuoc
ORDER BY total_quantity DESC
LIMIT 3;</t>
  </si>
  <si>
    <t xml:space="preserve">SELECT goi_cuoc AS productid, SUM(quantity) as total_quantity
FROM `project-5400504384186300846.BU_UTILITIES_TELCO.AIRTIME_DETAILS`
WHERE cate = 'Viettel' AND EXTRACT(YEAR FROM date) = 2024
GROUP BY goi_cuoc
ORDER BY total_quantity DESC
LIMIT 3
</t>
  </si>
  <si>
    <t>WITH viettel_products AS (
  SELECT 
    goi_cuoc as product_id,
    COUNT(*) as transaction_count,
    SUM(quantity) as total_quantity,
    SUM(amount) as total_amount
  FROM `project-5400504384186300846.BU_UTILITIES_TELCO.AIRTIME_DETAILS`
  WHERE EXTRACT(YEAR FROM date) = 2024
    AND cate = 'Viettel'
    AND statusid = 2  -- successful transactions only
    AND goi_cuoc IS NOT NULL
  GROUP BY goi_cuoc
  ORDER BY transaction_count DESC
  LIMIT 3
)
SELECT * FROM viettel_products;</t>
  </si>
  <si>
    <t>Lấy nhiều chỉ số, dùng cột tốt hơn</t>
  </si>
  <si>
    <t>which entrypoint do user come from the most in "Hà Nội" city in Mar 2024?</t>
  </si>
  <si>
    <t>SELECT telcosource, count(distinct user_payment) as user
FROM `project-5400504384186300846.BU_UTILITIES_TELCO.AIRTIME_DETAILS`
WHERE date_trunc(date,month) = "2024-03-01"
AND province_group = "Hà Nội"
GROUP BY 1
ORDER BY 2 DESC
LIMIT 1</t>
  </si>
  <si>
    <t>SELECT telcosource, COUNT(DISTINCT user_payment) as user_count
FROM project-5400504384186300846.BU_UTILITIES_TELCO.AIRTIME_DETAILS
WHERE province = 'Hà Nội'
AND statusid = 2
AND DATE_TRUNC(date, MONTH) = DATE '2024-03-01'
GROUP BY telcosource
ORDER BY user_count DESC
LIMIT 1;</t>
  </si>
  <si>
    <t xml:space="preserve">SELECT telcosource, COUNT(*) as entrypoint_count
FROM `project-5400504384186300846.BU_UTILITIES_TELCO.AIRTIME_DETAILS`
WHERE province = 'Hà Nội'
  AND DATE_TRUNC(month_active, MONTH) = '2024-03-01'
GROUP BY telcosource
ORDER BY entrypoint_count DESC
LIMIT 1
</t>
  </si>
  <si>
    <t>SELECT 
  telcosource,
  COUNT(*) as entry_count
FROM `project-5400504384186300846.BU_UTILITIES_TELCO.AIRTIME_DETAILS`
WHERE province = 'Hà Nội'
  AND DATE_TRUNC(date, MONTH) = '2024-03-01'
  AND telcosource IS NOT NULL
GROUP BY telcosource
ORDER BY entry_count DESC
LIMIT 5</t>
  </si>
  <si>
    <t>MAU contribution by province/gender in Apr 2024</t>
  </si>
  <si>
    <t>SELECT province, gender, count(distinct user_payment) as user
FROM `project-5400504384186300846.BU_UTILITIES_TELCO.AIRTIME_DETAILS`
WHERE DATE_TRUNC(date,month)="2024-04-01"
GROUP BY 1,2
ORDER BY 1,2
LIMIT 25</t>
  </si>
  <si>
    <t>SELECT
province,
COUNT(DISTINCT user_payment) AS MAU_contribution
FROM
project-5400504384186300846.BU_UTILITIES_TELCO.DATA_DETAILS
WHERE
statusid = 2 AND
EXTRACT(YEAR FROM date) = 2024 AND
EXTRACT(MONTH FROM date) = 4
GROUP BY
province
ORDER BY
MAU_contribution DESC;</t>
  </si>
  <si>
    <t xml:space="preserve">SELECT 
    province,
    gender,
    COUNT(DISTINCT user_payment) AS MAU_contribution
FROM 
    `project-5400504384186300846.BU_UTILITIES_TELCO.AIRTIME_DETAILS`
WHERE 
    EXTRACT(MONTH FROM month_active) = 4 AND EXTRACT(YEAR FROM month_active) = 2024
GROUP BY 
    province, 
    gender
ORDER BY 
    MAU_contribution DESC
LIMIT 25
</t>
  </si>
  <si>
    <t xml:space="preserve">WITH total_mau AS (
  SELECT COUNT(DISTINCT user_payment) as total_users
  FROM `project-5400504384186300846.BU_UTILITIES_TELCO.AIRTIME_DETAILS`
  WHERE month_active = '2024-04-01'
)
SELECT 
  IFNULL(province, 'Unknown') as province,
  IFNULL(gender, 'Unknown') as gender,
  COUNT(DISTINCT user_payment) as users,
  ROUND(COUNT(DISTINCT user_payment) * 100.0 / MAX(total_users), 2) as contribution_percentage
FROM `project-5400504384186300846.BU_UTILITIES_TELCO.AIRTIME_DETAILS`
CROSS JOIN total_mau
WHERE month_active = '2024-04-01'
GROUP BY province, gender
ORDER BY users DESC
</t>
  </si>
  <si>
    <t>Câu này đúng rồi, viết hay hơn cả ref, nhưng hơi không optimize thôi</t>
  </si>
  <si>
    <t>average AOV of recover_user (segemnt_user) with churn_duration above 3 month in 2023</t>
  </si>
  <si>
    <t>with tb as (
  SELECT user_payment, SUM(amount)/COUNT(DISTINCT id) as AOV
  FROM `project-5400504384186300846.BU_UTILITIES_TELCO.DATA_DETAILS`
  WHERE date between "2023-01-01" and "2023-12-31"
    AND user_segment = "recover_user"
    AND churn_duration &gt;= 3
  GROUP BY 1
)
SELECT AVG(AOV) AS AVG_AOV
FROM tb</t>
  </si>
  <si>
    <t>SELECT AVG(amount) AS average_aov
FROM project-5400504384186300846.BU_UTILITIES_TELCO.DATA_DETAILS
WHERE user_segment = 'recover_user'
AND churn_duration &gt; 3
AND DATE(datetime) BETWEEN '2023-01-01' AND '2023-12-31'
AND statusid = 2;</t>
  </si>
  <si>
    <t>SELECT 
  AVG(amount) AS average_AOV
FROM 
  `project-5400504384186300846.BU_UTILITIES_TELCO.AIRTIME_DETAILS` ad
JOIN 
  `project-5400504384186300846.BU_UTILITIES_TELCO.AIRTIME_SEGMENT_USER` asu 
ON 
  ad.user_payment = asu.reference
WHERE 
  asu.user_segment = 'recover_user'
  AND asu.churn_duration &gt; 3
  AND EXTRACT(YEAR FROM ad.date) = 2023;</t>
  </si>
  <si>
    <t>SELECT 
  FORMAT_DATE('%Y-%m', month_active) as month,
  ROUND(AVG(GMV/TRANS), 0) as average_aov,
  COUNT(DISTINCT reference) as number_users
FROM `project-5400504384186300846.BU_UTILITIES_TELCO.AIRTIME_SEGMENT_USER`
WHERE 
  EXTRACT(YEAR FROM month_active) = 2023
  AND user_segment = 'recover_user'
  AND churn_duration &gt; 3
GROUP BY 1
ORDER BY 1;</t>
  </si>
  <si>
    <t>Đúng công thức AOV</t>
  </si>
  <si>
    <t>New Airtime users each months trend in 2024</t>
  </si>
  <si>
    <t>SELECT
DATE_TRUNC(date, MONTH) AS month,
COUNT(DISTINCT id) AS new_data_users
FROM
project-5400504384186300846.BU_UTILITIES_TELCO.DATA_DETAILS
WHERE
EXTRACT(YEAR FROM date) = 2024
AND user_segment = 'new_user'
GROUP BY
month
ORDER BY
month;</t>
  </si>
  <si>
    <t>SELECT
DATE_TRUNC(date, MONTH) AS month,
COUNT(DISTINCT id) AS new_data_users
FROM
project-5400504384186300846.BU_UTILITIES_TELCO.DATA_DETAILS
WHERE
EXTRACT(YEAR FROM date) = 2024
AND statusid = 2
AND user_segment = 'new'
GROUP BY
month
ORDER BY
month;</t>
  </si>
  <si>
    <t xml:space="preserve">SELECT 
  month_active, 
  COUNT(DISTINCT reference) as new_users
FROM 
  `project-5400504384186300846.BU_UTILITIES_TELCO.AIRTIME_SEGMENT_USER`
WHERE 
  EXTRACT(YEAR FROM month_active) = 2024 
  AND user_segment = 'new_user'
GROUP BY 
  month_active
ORDER BY 
  month_active
LIMIT 25
</t>
  </si>
  <si>
    <t>SELECT 
  month_active,
  COUNT(DISTINCT reference) as new_users
FROM `project-5400504384186300846.BU_UTILITIES_TELCO.AIRTIME_SEGMENT_USER`
WHERE 
  EXTRACT(YEAR FROM month_active) = 2024
  AND user_segment = 'new_user'
GROUP BY month_active
ORDER BY month_active;</t>
  </si>
  <si>
    <t xml:space="preserve">Tổng GMV/Trans trong tháng 4 năm 2024 của User có các amount = 19000 trong tháng 6  </t>
  </si>
  <si>
    <t>with target_user as (
  select distinct user_id
  from `momovn-prod.BU_ECOM.DLS_ALL_TRANS_V3_1`
  where month = '2024-06-01' and gmv = 19000 
)
select 
  month,
  count (distinct t2.user_id) as total_user,
  sum(gmv) as gmv,
  sum (net_rev) as rev
from target_user t1
inner join `momovn-prod.BU_ECOM.DLS_ALL_TRANS_V3_1` t2 using (user_id)
where month = '2024-04-01'
group by 1
order by 1</t>
  </si>
  <si>
    <t>WITH UsersWithAmount19000 AS (
    SELECT 
        DISTINCT USER_ID 
    FROM 
        `momovn-mimir.MIMIR.DLS_ALL_TRANS_V3_1`
    WHERE 
        DATE BETWEEN '2023-06-01' AND '2023-06-30'
        AND GMV = 19000
)
SELECT 
    SUM(GMV) AS total_gmv,
    COUNT(*) AS total_transactions
FROM 
    `momovn-mimir.MIMIR.DLS_ALL_TRANS_V3_1` AS trans
WHERE 
    DATE BETWEEN '2023-04-01' AND '2023-04-30'
    AND USER_ID IN (SELECT USER_ID FROM UsersWithAmount19000)
LIMIT 10</t>
  </si>
  <si>
    <t xml:space="preserve">SELECT SUM(GMV) as Total_GMV, SUM(TRANS) as Total_Trans
FROM `momovn-prod.BU_ECOM.USER_SPENDING_SEGMENT_BY_CATE_V3`
WHERE USER_ID IN (
  SELECT DISTINCT USER_ID
  FROM `momovn-prod.BU_ECOM.USER_SPENDING_SEGMENT_BY_CATE_V3`
  WHERE GMV = 19000 AND DATE(MONTH) = '2024-06-01'
)
AND DATE(MONTH) = '2024-04-01'
</t>
  </si>
  <si>
    <t>WITH June_Users AS (
  SELECT DISTINCT USER_ID
  FROM `momovn-prod.BU_ECOM.DLS_ALL_TRANS_V3_1`
  WHERE EXTRACT(MONTH FROM DATE) = 6
  AND GMV = 19000
)
SELECT 
  SUM(t.GMV) as Total_GMV,
  COUNT(t.ORDER_ID) as Total_Transactions
FROM `momovn-prod.BU_ECOM.DLS_ALL_TRANS_V3_1` t
INNER JOIN June_Users ju ON t.USER_ID = ju.USER_ID
WHERE EXTRACT(YEAR FROM t.DATE) = 2024
AND EXTRACT(MONTH FROM t.DATE) = 4</t>
  </si>
  <si>
    <t>Chọn đúng bảng hơn, join nhẹ hơn</t>
  </si>
  <si>
    <t>Số inactive user trong tháng 3 năm 2024 họ theo user segment?</t>
  </si>
  <si>
    <t xml:space="preserve">  select user_segment, count (distinct t1.user_id)
  -- distinct t1.user_id, t1.user_segment, t2.user_id
  from `momovn-prod.BU_ECOM.USER_SPENDING_SEGMENT_BY_CATE_V3`  t1
  left join `momovn-prod.BU_ECOM.DLS_ALL_TRANS_V3_1` t2
    on t1.user_id = t2.user_id 
    and t1.cate = t2.cate
    and t1.month = DATE_SUB(T2.MONTH, INTERVAL 1 MONTH)
  where t1.month = '2024-03-01' and t1.cate = 'ADS PAYMENT' and t2.user_id is null 
  group by 1
  order by 1</t>
  </si>
  <si>
    <t>SELECT 
  t2.USER_SEGMENT,
  COUNT(DISTINCT t1.USER_ID) AS inactive_user_count
FROM `momovn-mimir.MIMIR.DLS_MONTHLY_USER_TYPE_BY_CATE_V3` AS t1
JOIN `momovn-mimir.MIMIR.USER_SPENDING_SEGMENT_BY_CATE_V3` AS t2
ON t1.USER_ID = t2.USER_ID
WHERE t1.MONTH = '2024-03-01'
  AND t1.USER_TYPE = 'INACTIVE'
GROUP BY t2.USER_SEGMENT
ORDER BY t2.USER_SEGMENT
LIMIT 10;</t>
  </si>
  <si>
    <t xml:space="preserve">SELECT 
  USER_SEGMENT, 
  COUNT(DISTINCT USER_ID) AS inactive_users
FROM `momovn-prod.BU_ECOM.USER_SPENDING_SEGMENT_BY_CATE_V3`
WHERE MONTH = '2024-03-01'
GROUP BY USER_SEGMENT
ORDER BY USER_SEGMENT
LIMIT 25
</t>
  </si>
  <si>
    <t xml:space="preserve">
WITH active_users AS (
  SELECT DISTINCT USER_ID
  FROM `momovn-prod.BU_ECOM.DLS_ALL_TRANS_V3_1`
  WHERE MONTH = '2024-03-01'
),
all_segmented_users AS (
  SELECT DISTINCT USER_ID, USER_SEGMENT
  FROM `momovn-prod.BU_ECOM.USER_SPENDING_SEGMENT_BY_CATE_V3`
  WHERE MONTH = '2024-03-01'
  AND USER_SEGMENT IS NOT NULL
)
SELECT 
  USER_SEGMENT,
  COUNT(DISTINCT u.USER_ID) as inactive_users
FROM all_segmented_users u
LEFT JOIN active_users a ON u.USER_ID = a.USER_ID
WHERE a.USER_ID IS NULL
GROUP BY USER_SEGMENT
ORDER BY USER_SEGMENT;\</t>
  </si>
  <si>
    <t>inactive là có active tháng 3 nhưng không còn active tháng 4
Cái này nó lấy user segment đúng nhưng lại active trong bảng segment và không active trong bảng transaction trong cùng tháng 3
Tư duy SQL Logic chưa tới</t>
  </si>
  <si>
    <t>with raw as (
select user_id, count (distinct order_id) as total_trans, count (distinct case when money_source = 2 then order_id end) as banklink_trans
from `momovn-prod.BU_ECOM.DLS_ALL_TRANS_V3_1`
where cate in ('LOGISTICS','ADS PAYMENT','APPLICATION STORE','MARKETPLACE','GAME','OTT','DIGITAL CONTENT')
  and month &gt;= '2024-02-01' and month &lt;= '2024-05-01'
group by 1
having total_trans = banklink_trans
)
select count (distinct user_id)
from raw</t>
  </si>
  <si>
    <t>SELECT COUNT(DISTINCT t1.USER_ID) AS user_count
FROM `momovn-mimir.MIMIR.DLS_ALL_TRANS_V3_1` AS t1
WHERE t1.MONEY_SOURCE = 2
AND t1.DATE BETWEEN '2024-02-01' AND '2024-05-31'
AND t1.USER_ID NOT IN (
    SELECT DISTINCT t2.USER_ID
    FROM `momovn-mimir.MIMIR.DLS_ALL_TRANS_V3_1` AS t2
    WHERE t2.DATE BETWEEN '2024-02-01' AND '2024-05-31'
    AND t2.MONEY_SOURCE != 2
)
LIMIT 10;</t>
  </si>
  <si>
    <t xml:space="preserve">SELECT DISTINCT USER_ID
FROM `momovn-prod.BU_ECOM.DLS_ALL_TRANS_V3_1`
WHERE MONEY_SOURCE_NAME = 'NHLK'
  AND MONTH BETWEEN '2024-02-01' AND '2024-05-31'
LIMIT 25
</t>
  </si>
  <si>
    <t>Đúng logic</t>
  </si>
  <si>
    <t>Số lượng user dùng 2 usecase hàng tháng</t>
  </si>
  <si>
    <t xml:space="preserve">with raw as (
  select distinct month, user_id, cate 
  from `momovn-prod.BU_ECOM.MAU_BY_USECASE_VER2`
  where month &gt;= '2024-06-01' and USECASE_TYPE = '2 USECASE'
),
cate_combine as (
  select 
    month,
    user_id,
    STRING_AGG (CATE, "-" ORDER BY CATE) as cate_combo
  from raw
  group by 1,2
)
select 
  month,
  cate_combo,
  count (distinct user_id)
from cate_combine
group by 1,2
order by 1 desc, 3 desc 
</t>
  </si>
  <si>
    <t>SELECT 
  DATE_TRUNC(t2.MONTH, MONTH) AS MONTH,
  t2.USECASE_TYPE,
  COUNT(DISTINCT t2.USER_ID) AS USER_COUNT
FROM 
  `momovn-mimir.MIMIR.MAU_BY_USECASE_VER2` AS t2
WHERE 
  t2.USECASE_TYPE = "2 USECASE"
GROUP BY 
  MONTH, 
  t2.USECASE_TYPE
ORDER BY 
  MONTH 
LIMIT 10;</t>
  </si>
  <si>
    <t>SELECT DATE_TRUNC(t.DATE, MONTH) AS month, COUNT(DISTINCT t.USER_ID) AS user_count
FROM momovn-prod.BU_ECOM.DLS_ALL_TRANS_V3_1 t
GROUP BY month
HAVING COUNT(DISTINCT t.CATE) = 2
ORDER BY month DESC
LIMIT 25</t>
  </si>
  <si>
    <t>SELECT 
  MONTH,
  COUNT(DISTINCT USER_ID) AS user_count
FROM 
  `momovn-prod.BU_ECOM.MAU_BY_USECASE_VER2`
WHERE 
  USECASE_TYPE = '2 USECASE'
GROUP BY 
  MONTH
ORDER BY 
  MONTH
LIMIT 25;</t>
  </si>
  <si>
    <t xml:space="preserve">SELECT 
  MONTH,
  COUNT(DISTINCT USER_ID) as user_count
FROM `momovn-prod.BU_ECOM.MAU_BY_USECASE_VER2`
WHERE USECASE_TYPE = '2 USECASE'
GROUP BY MONTH
ORDER BY MONTH DESC
</t>
  </si>
  <si>
    <t>Test set viết sai</t>
  </si>
  <si>
    <t>Nhóm user là single use case tháng này, qua tháng sau có bao nhiêu lên &gt; 2 use case năm 2024</t>
  </si>
  <si>
    <t>with raw as (
  select distinct month, user_id, usecase_type
  from `momovn-prod.BU_ECOM.MAU_BY_USECASE_VER2`
  where month = '2024-06-01' and USECASE_TYPE = '1 USECASE'
)
select 
  count (distinct t1. user_id) as total_user, count (distinct t2.user_id) as uplift_usecase_user
from raw t1
left join 
(select * from `momovn-prod.BU_ECOM.MAU_BY_USECASE_VER2` where month = '2024-07-01' and USECASE_TYPE != '1 USECASE' ) t2
 using (user_id)</t>
  </si>
  <si>
    <t>WITH single_usecase_users AS (
    SELECT
        USER_ID,
        DATE_TRUNC(MONTH, MONTH) AS MONTH
    FROM
        `momovn-mimir.MIMIR.MAU_BY_USECASE_VER2`
    WHERE
        USECASE_TYPE = '1 USECASE'
),
next_month_usecase_users AS (
    SELECT
        USER_ID,
        DATE_TRUNC(DATE_ADD(MONTH, INTERVAL 1 MONTH), MONTH) AS NEXT_MONTH
    FROM
        `momovn-mimir.MIMIR.MAU_BY_USECASE_VER2`
    WHERE
        USECASE_TYPE = '2 USECASE' OR USECASE_TYPE = 'FROM 4 USECASE'
)
SELECT
    su.MONTH,
    COUNT(DISTINCT su.USER_ID) AS USER_COUNT
FROM
    single_usecase_users su
JOIN
    next_month_usecase_users nu ON su.USER_ID = nu.USER_ID AND su.MONTH = nu.NEXT_MONTH
GROUP BY
    su.MONTH
ORDER BY
    su.MONTH
LIMIT 10;</t>
  </si>
  <si>
    <t>WITH single_use_case_users AS (
    SELECT 
        USER_ID,
        MONTH,
        COUNT(DISTINCT USECASE_TYPE) AS usecase_count
    FROM `momovn-prod.BU_ECOM.MAU_BY_USECASE_VER2`
    WHERE EXTRACT(YEAR FROM MONTH) = 2024
    GROUP BY USER_ID, MONTH
    HAVING usecase_count = 1
),
multi_use_case_users_next_month AS (
    SELECT 
        a.USER_ID,
        a.MONTH AS current_month,
        b.MONTH AS next_month,
        COUNT(DISTINCT b.USECASE_TYPE) AS next_month_usecase_count
    FROM single_use_case_users a
    JOIN `momovn-prod.BU_ECOM.MAU_BY_USECASE_VER2` b
    ON a.USER_ID = b.USER_ID
    AND DATE_TRUNC(b.MONTH, MONTH) = DATE_TRUNC(DATE_ADD(a.MONTH, INTERVAL 1 MONTH), MONTH)
    GROUP BY a.USER_ID, a.MONTH, b.MONTH
    HAVING next_month_usecase_count &gt; 2
)
SELECT 
    COUNT(DISTINCT USER_ID) AS total_users
FROM multi_use_case_users_next_month;</t>
  </si>
  <si>
    <t>WITH single_usecase_users AS (
  SELECT 
    MONTH,
    USER_ID,
    USECASE_TYPE
  FROM `momovn-prod.BU_ECOM.MAU_BY_USECASE_VER2`
  WHERE USECASE_TYPE = '1 USECASE'
  AND EXTRACT(YEAR FROM MONTH) = 2024
),
next_month_status AS (
  SELECT 
    a.MONTH as current_month,
    a.USER_ID,
    a.USECASE_TYPE as current_usecase,
    b.MONTH as next_month,
    b.USECASE_TYPE as next_usecase
  FROM single_usecase_users a
  LEFT JOIN `momovn-prod.BU_ECOM.MAU_BY_USECASE_VER2` b
  ON a.USER_ID = b.USER_ID
  AND b.MONTH = DATE_ADD(a.MONTH, INTERVAL 1 MONTH)
  WHERE b.USECASE_TYPE IN ('2 USECASE', '3 USECASE', 'FROM 4 USECASE')
)
SELECT 
  current_month,
  COUNT(DISTINCT USER_ID) as users_upgraded
FROM next_month_status
GROUP BY current_month
ORDER BY current_month;</t>
  </si>
  <si>
    <t>Dùng usecase type khá hiệu quả, đúng ý của DA
Model cũ đếm usecase type sai</t>
  </si>
  <si>
    <t>Số user overlap 2 merchant Google và Facebook của cate ADS PAYMENT, và % số lượng users trong tổng users mỗi merchant trong tháng 10 năm 2024</t>
  </si>
  <si>
    <t>with merchant_type as (
select distinct user_id, merchant
from `momovn-prod.BU_ECOM.DLS_ALL_TRANS_V3_1`
where month &gt;= '2024-04-01' and month &lt;= '2024-06-01' and cate = 'ADS PAYMENT'
and merchant in ('TIKTOK','GOOGLE','FACEBOOK')
),
final as (
select distinct
user_id,
STRING_AGG (MERCHANT, "-" ORDER BY MERCHANT) as type_merchant
from merchant_type
group by 1
)
select type_merchant, count (distinct user_id)
from final
group by 1
order by 1</t>
  </si>
  <si>
    <t>WITH user_overlap AS (
    SELECT 
        a.USER_ID,
        a.MERCHANT AS MERCHANT_A,
        b.MERCHANT AS MERCHANT_B
    FROM 
        `momovn-mimir.MIMIR.DLS_MONTHLY_USER_TYPE_BY_MERCHANT_V3` a
    JOIN 
        `momovn-mimir.MIMIR.DLS_MONTHLY_USER_TYPE_BY_MERCHANT_V3` b
    ON 
        a.USER_ID = b.USER_ID
    WHERE 
        a.MERCHANT != b.MERCHANT
),
overlap_stats AS (
    SELECT
        u.USER_ID,
        SUM(t.GMV) AS TOTAL_GMV,
        COUNT(t.USER_ID) AS TOTAL_TRANS,
        SUM(t.TOTAL_REV) AS TOTAL_REV
    FROM
        user_overlap u
    JOIN
        `momovn-mimir.MIMIR.DLS_ALL_TRANS_V3_1` t
    ON
        u.USER_ID = t.USER_ID
    GROUP BY
        u.USER_ID
),
merchant_gmv AS (
    SELECT
        MERCHANT,
        SUM(GMV) AS GMV
    FROM
        `momovn-mimir.MIMIR.DLS_ALL_TRANS_V3_1`
    GROUP BY
        MERCHANT
)
SELECT
    u.MERCHANT_A,
    u.MERCHANT_B,
    COUNT(DISTINCT o.USER_ID) AS TOTAL_OVERLAP_USERS,
    SUM(o.TOTAL_GMV) AS TOTAL_GMV,
    SUM(o.TOTAL_TRANS) AS TOTAL_TRANS,
    SUM(o.TOTAL_REV) AS TOTAL_REV,
    (SUM(o.TOTAL_GMV) / mg1.GMV) * 100 AS PERCENT_GMV_A,
    (SUM(o.TOTAL_GMV) / mg2.GMV) * 100 AS PERCENT_GMV_B
FROM
    user_overlap u
JOIN
    overlap_stats o
ON
    u.USER_ID = o.USER_ID
JOIN
    merchant_gmv mg1
ON
    u.MERCHANT_A = mg1.MERCHANT
JOIN
    merchant_gmv mg2
ON
    u.MERCHANT_B = mg2.MERCHANT
GROUP BY
    u.MERCHANT_A,
    u.MERCHANT_B,
    mg1.GMV,
    mg2.GMV
ORDER BY
    TOTAL_OVERLAP_USERS DESC
LIMIT 10;</t>
  </si>
  <si>
    <t>WITH merchant_users AS (
SELECT
USER_ID,
MERCHANT
FROM
momovn-prod.BU_ECOM.DLS_ALL_TRANS_V3_1
WHERE
DATE_TRUNC(DATE, MONTH) = '2024-10-01'
AND CATE = "ADS PAYMENT"
AND MERCHANT IN ("FACEBOOK", "GOOGLE")
GROUP BY
USER_ID,
MERCHANT
),
overlap_users AS (
SELECT
USER_ID
FROM
merchant_users
GROUP BY
USER_ID
HAVING
COUNT(DISTINCT MERCHANT) &gt; 1
),
total_users_per_merchant AS (
SELECT
MERCHANT,
COUNT(DISTINCT USER_ID) AS total_users
FROM
merchant_users
GROUP BY
MERCHANT
)
SELECT
m.MERCHANT,
COUNT(DISTINCT o.USER_ID) AS overlap_user_count,
(COUNT(DISTINCT o.USER_ID) / t.total_users) * 100 AS overlap_user_percentage
FROM
overlap_users o
JOIN
merchant_users m ON o.USER_ID = m.USER_ID
JOIN
total_users_per_merchant t ON m.MERCHANT = t.MERCHANT
GROUP BY
m.MERCHANT, t.total_users
ORDER BY
overlap_user_percentage DESC
LIMIT 25;</t>
  </si>
  <si>
    <t>WITH merchant_users AS (
  SELECT DISTINCT USER_ID, MERCHANT
  FROM momovn-prod.BU_ECOM.DLS_ALL_TRANS_V3_1
  WHERE MONTH = '2024-10-01'
  AND CATE = 'ADS PAYMENT'
  AND MERCHANT IN ('GOOGLE', 'FACEBOOK')
),
total_users_by_merchant AS (
  SELECT 
    MERCHANT,
    COUNT(DISTINCT USER_ID) as total_users
  FROM merchant_users
  GROUP BY MERCHANT
),
overlap_users AS (
  SELECT 
    COUNT(DISTINCT USER_ID) as overlap_count
  FROM (
    SELECT USER_ID
    FROM merchant_users
    GROUP BY USER_ID
    HAVING COUNT(DISTINCT MERCHANT) = 2
  )
)
SELECT 
  o.overlap_count as overlap_users,
  m.MERCHANT,
  m.total_users,
  ROUND(o.overlap_count * 100.0 / m.total_users, 2) as overlap_percentage
FROM total_users_by_merchant m
CROSS JOIN overlap_users o;</t>
  </si>
  <si>
    <t>Sửa lại cách prompt thì cả 2 model đều oke</t>
  </si>
  <si>
    <t>Số user overlap 2 merchant Google và Facebook của cate ADS PAYMENT, và %GMV và Revenue của nhóm users đó trên tổng GMV và Revenue của tổng users của mỗi merchant đó trong tháng 10 năm 2024</t>
  </si>
  <si>
    <t xml:space="preserve">WITH OVERLAP_USER AS (
  SELECT 
    USER_ID, 
    SUM(GMV) AS GMV_OVERLAP,
    SUM(NET_REV) AS REV_OVERLAP
  FROM `momovn-prod.BU_ECOM.DLS_ALL_TRANS_V3_1`
  WHERE CATE = 'ADS PAYMENT' 
    AND MERCHANT IN ('FACEBOOK', 'GOOGLE')
    AND MONTH = '2024-10-01'
  GROUP BY USER_ID
  HAVING COUNT(DISTINCT MERCHANT) = 2
),
TOTAL_GMV_REV AS (
  SELECT
    MERCHANT, 
    SUM(GMV) AS TOTAL_GMV, 
    SUM(NET_REV) AS TOTAL_REV
  FROM `momovn-prod.BU_ECOM.DLS_ALL_TRANS_V3_1`
  WHERE CATE = 'ADS PAYMENT' 
    AND MERCHANT IN ('FACEBOOK', 'GOOGLE')
    AND MONTH = '2024-10-01'
  GROUP BY MERCHANT
),
TOTAL_OVERLAP AS (
  SELECT 
    COUNT(USER_ID) AS TOTAL_USER_OVERLAP, 
    SUM(GMV_OVERLAP) AS TOTAL_GMV_OVERLAP,
    SUM(REV_OVERLAP) AS TOTAL_REV_OVERLAP
  FROM OVERLAP_USER
)
SELECT 
  TOTAL_USER_OVERLAP,
  ROUND((TOTAL_GMV_OVERLAP / (SELECT TOTAL_GMV FROM TOTAL_GMV_REV WHERE MERCHANT = 'FACEBOOK')) * 100, 2) AS GMV_PERCENT_FACEBOOK,
  ROUND((TOTAL_REV_OVERLAP / (SELECT TOTAL_REV FROM TOTAL_GMV_REV WHERE MERCHANT = 'FACEBOOK')) * 100, 2) AS REV_PERCENT_FACEBOOK,
  ROUND((TOTAL_GMV_OVERLAP / (SELECT TOTAL_GMV FROM TOTAL_GMV_REV WHERE MERCHANT = 'GOOGLE')) * 100, 2) AS GMV_PERCENT_GOOGLE,
  ROUND((TOTAL_REV_OVERLAP / (SELECT TOTAL_REV FROM TOTAL_GMV_REV WHERE MERCHANT = 'GOOGLE')) * 100, 2) AS REV_PERCENT_GOOGLE
FROM TOTAL_OVERLAP 
</t>
  </si>
  <si>
    <t>with google_users as (
select distinct t1.user_id
from momovn-prod.BU_ECOM.DLS_ALL_TRANS_V3_1 t1
where DATE_TRUNC(t1.date, month) = '2024-10-01' and t1.cate = 'ADS PAYMENT' and t1.merchant = 'GOOGLE'
),
facebook_users as (
select distinct t1.user_id
from momovn-prod.BU_ECOM.DLS_ALL_TRANS_V3_1 t1
where DATE_TRUNC(t1.date, month) = '2024-10-01' and t1.cate = 'ADS PAYMENT' and t1.merchant = 'FACEBOOK'
),
overlap_users as (
select user_id
from google_users
intersect
select user_id
from facebook_users
),
google_metrics as (
select
count(distinct user_id) as total_google_users,
sum(gmv) as total_google_gmv,
sum(net_rev) as total_google_rev
from momovn-prod.BU_ECOM.DLS_ALL_TRANS_V3_1
where DATE_TRUNC(date, month) = '2024-10-01' and cate = 'ADS PAYMENT' and merchant = 'GOOGLE'
),
facebook_metrics as (
select
count(distinct user_id) as total_facebook_users,
sum(gmv) as total_facebook_gmv,
sum(net_rev) as total_facebook_rev
from momovn-prod.BU_ECOM.DLS_ALL_TRANS_V3_1
where DATE_TRUNC(date, month) = '2024-10-01' and cate = 'ADS PAYMENT' and merchant = 'FACEBOOK'
)
select
count(distinct o.user_id) as overlap_user_count,
sum(case when t1.merchant = 'GOOGLE' then t1.gmv end) as overlap_google_gmv,
sum(case when t1.merchant = 'FACEBOOK' then t1.gmv end) as overlap_facebook_gmv,
(sum(case when t1.merchant = 'GOOGLE' then t1.gmv end) / g.total_google_gmv) * 100 as percent_overlap_google_gmv,
(sum(case when t1.merchant = 'FACEBOOK' then t1.gmv end) / f.total_facebook_gmv) * 100 as percent_overlap_facebook_gmv,
sum(case when t1.merchant = 'GOOGLE' then t1.net_rev end) as overlap_google_rev,
sum(case when t1.merchant = 'FACEBOOK' then t1.net_rev end) as overlap_facebook_rev,
(sum(case when t1.merchant = 'GOOGLE' then t1.net_rev end) / g.total_google_rev) * 100 as percent_overlap_google_rev,
(sum(case when t1.merchant = 'FACEBOOK' then t1.net_rev end) / f.total_facebook_rev) * 100 as percent_overlap_facebook_rev
from momovn-prod.BU_ECOM.DLS_ALL_TRANS_V3_1 t1
join overlap_users o on t1.user_id = o.user_id
cross join google_metrics g
cross join facebook_metrics f
where DATE_TRUNC(t1.date, month) = '2024-10-01'
limit 25</t>
  </si>
  <si>
    <t xml:space="preserve">WITH overlap_users AS (
  SELECT DISTINCT USER_ID
  FROM momovn-prod.BU_ECOM.DLS_ALL_TRANS_V3_1
  WHERE DATE_TRUNC(DATE, MONTH) = '2024-10-01'
  AND CATE = 'ADS PAYMENT'
  AND MERCHANT IN ('GOOGLE', 'FACEBOOK')
  GROUP BY USER_ID
  HAVING COUNT(DISTINCT MERCHANT) = 2
),
merchant_metrics AS (
  SELECT 
    MERCHANT,
    COUNT(DISTINCT USER_ID) as total_users,
    SUM(GMV) as total_gmv,
    SUM(NET_REV) as total_revenue
  FROM momovn-prod.BU_ECOM.DLS_ALL_TRANS_V3_1
  WHERE DATE_TRUNC(DATE, MONTH) = '2024-10-01'
  AND CATE = 'ADS PAYMENT'
  AND MERCHANT IN ('GOOGLE', 'FACEBOOK')
  GROUP BY MERCHANT
),
overlap_metrics AS (
  SELECT 
    t.MERCHANT,
    COUNT(DISTINCT t.USER_ID) as overlap_users,
    SUM(t.GMV) as overlap_gmv,
    SUM(t.NET_REV) as overlap_revenue
  FROM momovn-prod.BU_ECOM.DLS_ALL_TRANS_V3_1 t
  INNER JOIN overlap_users o ON t.USER_ID = o.USER_ID
  WHERE DATE_TRUNC(t.DATE, MONTH) = '2024-10-01'
  AND t.CATE = 'ADS PAYMENT'
  AND t.MERCHANT IN ('GOOGLE', 'FACEBOOK')
  GROUP BY t.MERCHANT
)
SELECT 
  m.MERCHANT,
  o.overlap_users,
  ROUND(o.overlap_gmv/m.total_gmv * 100, 2) as overlap_gmv_percentage,
  ROUND(o.overlap_revenue/m.total_revenue * 100, 2) as overlap_revenue_percentage
FROM merchant_metrics m
JOIN overlap_metrics o ON m.MERCHANT = o.MERCHANT
ORDER BY m.MERCHANT;
</t>
  </si>
  <si>
    <t>số lượng giao dịch thành công của TiktokShop ngày 9/12/2024 bằng Ví Trả Sau là bao nhiêu</t>
  </si>
  <si>
    <t xml:space="preserve">  SELECT 
    COUNT(DISTINCT ORDER_ID) AS TOTAL_TRANS
  FROM `momovn-prod.BU_ECOM.DLS_ALL_TRANS_V3_1`
  WHERE MERCHANT = 'TIKTOK'
  AND DATE = '2024-12-09'
  AND CATE = 'MARKETPLACE'
  AND MONEY_SOURCE_NAME = 'Paylater'
</t>
  </si>
  <si>
    <t>SELECT COUNT(*) AS successful_transactions_count
FROM momovn-prod.BU_ECOM.DLS_ALL_TRANS_V3_1
WHERE DATE = '2024-12-09'
AND MERCHANT = 'TIKTOK'
AND MONEY_SOURCE_NAME = 'VTS'
LIMIT 25</t>
  </si>
  <si>
    <t>SELECT COUNT(*) AS successful_transactions_count
FROM momovn-prod.BU_ECOM.DLS_ALL_TRANS_V3_1
WHERE DATE = '2024-12-09'
AND MERCHANT = 'TIKTOK'
AND CATE = 'MARKETPLACE'
AND MONEY_SOURCE_NAME = 'VTS'
LIMIT 25</t>
  </si>
  <si>
    <t>SELECT 
  COUNT(*) as transaction_count
FROM `momovn-prod.BU_ECOM.DLS_ALL_TRANS_V3_1`
WHERE DATE = '2024-12-09'
  AND MERCHANT = 'TIKTOK'
  AND MONEY_SOURCE_NAME = 'Paylater'
  AND GMV &gt; 0
  AND REFUND_AMOUNT IS NULL;</t>
  </si>
  <si>
    <t>Chọn đúng Paylater
Nhưng model cũ có cân nhắc thêm MAKETPLACE</t>
  </si>
  <si>
    <t>Số user có xài dịch vụ ADS PAYMENT của GOOGLE trong khoảng thời gian tháng 1 2024 đến tháng 3 2024 sau đó có bao nhiêu chuyển qua dịch vụ ADS PAYMENT của FACEBOOK trong tháng 4 2024</t>
  </si>
  <si>
    <t xml:space="preserve">with target_user as (
  select distinct user_id
  from `momovn-prod.BU_ECOM.DLS_ALL_TRANS_V3_1` 
  where merchant = 'GOOGLE' and cate = 'ADS PAYMENT' and month &gt;= '2024-01-01' and month &lt;= '2024-03-01'
), google_user as (
  SELECT user_id
  from `momovn-prod.BU_ECOM.DLS_ALL_TRANS_V3_1` t1 
  where cate = 'ADS PAYMENT' and month = '2024-04-01'
  GROUP BY user_id
  HAVING 
  COUNT(DISTINCT merchant) = 1
  AND ANY_VALUE(merchant) = 'FACEBOOK' 
)
select COUNT(distinct target_user.user_id) as facebook_user
       , COUNT(DISTINCT google_user.user_id) as switch_google_user
FROM  target_user
LEFT JOIN google_user using (user_id)
</t>
  </si>
  <si>
    <t>WITH google_users AS (
SELECT DISTINCT D1.USER_ID
FROM momovn-prod.BU_ECOM.DLS_ALL_TRANS_V3_1 D1
WHERE DATE_TRUNC(D1.DATE, month) BETWEEN '2024-01-01' AND '2024-03-31'
AND D1.MERCHANT = "GOOGLE"
AND D1.CATE = "ADS PAYMENT"
),
facebook_users AS (
SELECT DISTINCT D2.USER_ID
FROM momovn-prod.BU_ECOM.DLS_ALL_TRANS_V3_1 D2
WHERE DATE_TRUNC(D2.DATE, month) = '2024-04-01'
AND D2.MERCHANT = "FACEBOOK"
AND D2.CATE = "ADS PAYMENT"
)
SELECT COUNT(DISTINCT google_users.USER_ID) AS number_of_users
FROM google_users
JOIN facebook_users ON google_users.USER_ID = facebook_users.USER_ID
LIMIT 25</t>
  </si>
  <si>
    <t>WITH google_users AS (
  SELECT DISTINCT USER_ID
  FROM `momovn-prod.BU_ECOM.DLS_ALL_TRANS_V3_1`
  WHERE MERCHANT = 'GOOGLE' 
  AND SUB_CATE = 'ADS PAYMENT'
  AND DATE BETWEEN '2024-01-01' AND '2024-03-31'
),
facebook_switchers AS (
  SELECT DISTINCT g.USER_ID
  FROM google_users g
  INNER JOIN `momovn-prod.BU_ECOM.DLS_ALL_TRANS_V3_1` f
  ON g.USER_ID = f.USER_ID
  WHERE f.MERCHANT = 'FACEBOOK'
  AND f.SUB_CATE = 'ADS PAYMENT'
  AND f.DATE BETWEEN '2024-04-01' AND '2024-04-30'
)
SELECT 
  COUNT(DISTINCT USER_ID) as google_users,
  (SELECT COUNT(DISTINCT USER_ID) FROM facebook_switchers) as switched_to_facebook
FROM google_users;</t>
  </si>
  <si>
    <t>Sai syntax, dùng truy vấn lồng vào SELCT không kèm điều kiện</t>
  </si>
  <si>
    <t>có bao nhiêu user grab giao dịch từ 3 transaction trở lên trong tháng 12/2024</t>
  </si>
  <si>
    <t>SELECT COUNT(DISTINCT USER_ID) AS num_user
FROM (
  SELECT t1.USER_ID
  FROM `momovn-prod.BU_ECOM.DLS_ALL_TRANS_V3_1` t1
  WHERE t1.MERCHANT = 'GRAB-ENDUSER'
    AND t1.MONTH = '2024-12-01'
  GROUP BY t1.USER_ID
  HAVING COUNT(t1.ORDER_ID) &gt;= 3
)</t>
  </si>
  <si>
    <t>WITH grab_users AS (
  SELECT 
    USER_ID,
    COUNT(*) as transaction_count
  FROM `momovn-prod.BU_ECOM.DLS_ALL_TRANS_V3_1`
  WHERE 
    FORMAT_DATE('%Y-%m', DATE) = '2024-12'
    AND MERCHANT = 'GRAB'
    AND USER_ID IS NOT NULL
  GROUP BY USER_ID
  HAVING COUNT(*) &gt;= 3
)
SELECT 
  COUNT(DISTINCT USER_ID) as user_count
FROM grab_users;</t>
  </si>
  <si>
    <t>Sai tên Merchant nên ra số sai luôn</t>
  </si>
  <si>
    <t>Số lượng user dùng cả 3 dịch vụ GRAB-ENDUSER, BE GROUP, GSM trong tháng 11/2024</t>
  </si>
  <si>
    <t>SELECT COUNT(DISTINCT t1.USER_ID) AS user_count
FROM momovn-prod.BU_ECOM.DLS_ALL_TRANS_V3_1 t1
WHERE t1.MERCHANT IN ('GRAB-ENDUSER', 'BE GROUP', 'GSM')
AND EXTRACT(MONTH FROM t1.DATE) = 11
AND EXTRACT(YEAR FROM t1.DATE) = 2024
GROUP BY t1.USER_ID
HAVING COUNT(DISTINCT t1.MERCHANT) = 3
LIMIT 25</t>
  </si>
  <si>
    <t>WITH SERVICE1 AS (
SELECT DISTINCT USER_ID
FROM momovn-prod.BU_ECOM.DLS_ALL_TRANS_V3_1
WHERE MONTH = '2024-11-01'
AND MERCHANT = 'GRAB-ENDUSER'
),
SERVICE2 AS (
SELECT DISTINCT USER_ID
FROM momovn-prod.BU_ECOM.DLS_ALL_TRANS_V3_1
WHERE MONTH = '2024-11-01'
AND MERCHANT = 'BE GROUP'
),
SERVICE3 AS (
SELECT DISTINCT USER_ID
FROM momovn-prod.BU_ECOM.DLS_ALL_TRANS_V3_1
WHERE MONTH = '2024-11-01'
AND MERCHANT = 'GSM'
)
SELECT COUNT(DISTINCT S1.USER_ID) AS USER_COUNT
FROM SERVICE1 S1
INNER JOIN SERVICE2 S2 ON S1.USER_ID = S2.USER_ID
INNER JOIN SERVICE3 S3 ON S1.USER_ID = S3.USER_ID</t>
  </si>
  <si>
    <t>WITH user_services AS (
  SELECT 
    USER_ID,
    COUNT(DISTINCT SUB_MERCHANT) as service_count,
    STRING_AGG(DISTINCT SUB_MERCHANT) as services
  FROM `momovn-prod.BU_ECOM.DLS_ALL_TRANS_V3_1`
  WHERE DATE_TRUNC(DATE, MONTH) = '2024-11-01'
  AND SUB_MERCHANT IN ('GRAB-ENDUSER', 'BE GROUP', 'GSM')
  AND USER_ID IS NOT NULL
  GROUP BY USER_ID
  HAVING COUNT(DISTINCT SUB_MERCHANT) = 3
)
SELECT COUNT(*) as user_count
FROM user_services;</t>
  </si>
  <si>
    <t>Dùng sai cột</t>
  </si>
  <si>
    <t xml:space="preserve">Overlaped user who used both GRAB-ENDUSER, BE GROUP compared to MAU of logistics in 11/2024 </t>
  </si>
  <si>
    <t xml:space="preserve">WITH OVERLAP_USER AS (
  SELECT 
    USER_ID
  FROM `momovn-prod.BU_ECOM.DLS_ALL_TRANS_V3_1`
  WHERE CATE = 'LOGISTICS'
    AND MERCHANT IN ('GRAB-ENDUSER', 'BE GROUP')
    AND MONTH = '2024-11-01'
  GROUP BY USER_ID
  HAVING COUNT(DISTINCT MERCHANT) = 2
),
MAU_LOGISTICS AS (
  SELECT 
    COUNT(DISTINCT USER_ID) AS TOTAL_MAU_LOGISTICS
  FROM `momovn-prod.BU_ECOM.DLS_ALL_TRANS_V3_1`
  WHERE CATE = 'LOGISTICS'
    AND MONTH = '2024-11-01'
)
SELECT 
  ROUND((SELECT COUNT(DISTINCT USER_ID) FROM OVERLAP_USER) / TOTAL_MAU_LOGISTICS * 100, 2) AS OVERLAP_PERCENT
FROM MAU_LOGISTICS
</t>
  </si>
  <si>
    <t>WITH GRAB_ENDUSER_USERS AS (
SELECT DISTINCT USER_ID
FROM momovn-prod.BU_ECOM.DLS_GIFT_V3_VER2
WHERE MERCHANT = 'GRAB-ENDUSER' AND FORMAT_DATE('%Y-%m', DATE(TRAN_DATE)) = '2024-11'
),
BE_GROUP_USERS AS (
SELECT DISTINCT USER_ID
FROM momovn-prod.BU_ECOM.DLS_GIFT_V3_VER2
WHERE MERCHANT = 'BE GROUP' AND FORMAT_DATE('%Y-%m', DATE(TRAN_DATE)) = '2024-11'
),
MAU_LOGISTICS AS (
SELECT DISTINCT USER_ID
FROM momovn-prod.BU_ECOM.DLS_GIFT_V3_VER2
WHERE CATE = 'LOGISTICS' AND FORMAT_DATE('%Y-%m', DATE(TRAN_DATE)) = '2024-11'
)
SELECT
COUNT(DISTINCT USER_ID) AS OVERLAPPED_USERS,
(SELECT COUNT(DISTINCT USER_ID) FROM MAU_LOGISTICS) AS MAU_LOGISTICS
FROM GRAB_ENDUSER_USERS
JOIN BE_GROUP_USERS USING (USER_ID)
LIMIT 25</t>
  </si>
  <si>
    <t>WITH both_services_users AS (
  SELECT DISTINCT USER_ID
  FROM `momovn-prod.BU_ECOM.DLS_ALL_TRANS_V3_1`
  WHERE DATE_TRUNC(DATE, MONTH) = '2024-11-01'
  AND USER_ID IS NOT NULL
  AND SUB_MERCHANT IN ('GRAB-ENDUSER', 'BE GROUP')
  GROUP BY USER_ID
  HAVING COUNT(DISTINCT SUB_MERCHANT) = 2
),
logistics_users AS (
  SELECT COUNT(DISTINCT USER_ID) as total_logistics_users
  FROM `momovn-prod.BU_ECOM.DLS_ALL_TRANS_V3_1`
  WHERE DATE_TRUNC(DATE, MONTH) = '2024-11-01'
  AND CATE = 'LOGISTICS'
  AND USER_ID IS NOT NULL
),
overlap_count AS (
  SELECT COUNT(*) as overlapped_users
  FROM both_services_users
)
SELECT 
  l.total_logistics_users,
  o.overlapped_users,
  ROUND(o.overlapped_users * 100.0 / l.total_logistics_users, 2) as overlap_percentage
FROM logistics_users l
CROSS JOIN overlap_count o</t>
  </si>
  <si>
    <r>
      <rPr>
        <color rgb="FF000000"/>
      </rPr>
      <t xml:space="preserve">Updated:
</t>
    </r>
    <r>
      <rPr>
        <color rgb="FF1155CC"/>
        <u/>
      </rPr>
      <t>https://mimir.mservice.io/chat/684110775e21754843ce470c</t>
    </r>
  </si>
  <si>
    <r>
      <rPr>
        <color rgb="FF000000"/>
      </rPr>
      <t xml:space="preserve">Updated:
</t>
    </r>
    <r>
      <rPr>
        <color rgb="FF1155CC"/>
        <u/>
      </rPr>
      <t>https://mimir.mservice.io/chat/684110775e21754843ce470c</t>
    </r>
  </si>
  <si>
    <t>Dùng sai cột
Đụng tới grab là thấy dùng sai</t>
  </si>
  <si>
    <t>tiktokshop tháng 11 có bao nhiêu user mới rồi?</t>
  </si>
  <si>
    <t xml:space="preserve">WITH RANK_TEST AS(
SELECT DISTINCT 
    USER_ID,
    BU_NAME,
    CATE,
    MERCHANT,
    CASE WHEN SUB_MERCHANT = 'APPLE ICLOUD' THEN 'm4becomadyen_apple.icloud'
          WHEN SUB_MERCHANT = 'APPLE YOUTUBE PREMIUM' THEN 'm4becomadyen_apple.youtube'
          ELSE SERVICE_CODE END AS SERVICE_CODE,
    ORDER_ID,
    DATE_TRUNC(DATE(DATETIME),MONTH) AS MONTH,
    DATE(DATETIME) AS DATE,
    DATETIME,
    ROW_NUMBER() OVER (PARTITION BY USER_ID ORDER BY DATETIME ASC) AS RANK_MOMO,
    ROW_NUMBER() OVER (PARTITION BY USER_ID,CATE ORDER BY DATETIME ASC) AS RANK_CATE,
    ROW_NUMBER() OVER (PARTITION BY USER_ID,MERCHANT ORDER BY DATETIME ASC) AS RANK_MERCHANT,
  FROM `momovn-prod.BU_ECOM.DLS_ALL_TRANS_V3_1` 
)
SELECT 
  COUNT(DISTINCT NTMC)
FROM(
SELECT 
  USER_ID,
  CATE,
  MERCHANT,
  ORDER_ID,
  MONTH,
  DATE,
  DATETIME,
  CASE WHEN RANK_MOMO = 1 then USER_ID END AS NTMM,
  CASE WHEN RANK_CATE = 1 then USER_ID END AS NTC,
  CASE WHEN RANK_MERCHANT = 1 then USER_ID END AS NTMC,
  CASE WHEN RANK_MOMO = 1 then DATE END AS DATE_NTMM,
  CASE WHEN RANK_CATE = 1 then DATE END AS DATE_NTC,
  CASE WHEN RANK_MERCHANT = 1 then DATE END AS DATE_NTMC,  
FROM RANK_TEST
)
WHERE MONTH = '2024-11-01' AND MERCHANT = 'TIKTOK'  AND CATE = 'MARKETPLACE' </t>
  </si>
  <si>
    <t xml:space="preserve">SELECT 
  COUNT(DISTINCT d.USER_ID) AS new_users
FROM 
  `momovn-prod.BU_ECOM.DLS_ALL_TRANS_V3_1` d
JOIN 
  `momovn-prod.BU_ECOM.MAU_BY_USECASE_VER2` m
ON 
  d.USER_ID = m.USER_ID
WHERE 
  d.MONTH = '2024-11-01'
  AND d.MERCHANT = 'TIKTOK'
  AND d.CATE = 'MARKETPLACE'
  AND m.MONTH = '2024-11-01'
  AND m.USECASE_TYPE LIKE '%NEW%'
LIMIT 25
</t>
  </si>
  <si>
    <t>WITH previous_users AS (
  SELECT DISTINCT USER_ID
  FROM `momovn-prod.BU_ECOM.DLS_ALL_TRANS_V3_1`
  WHERE MERCHANT = 'TIKTOK'
  AND DATE &lt; '2024-11-01'
),
november_users AS (
  SELECT DISTINCT USER_ID
  FROM `momovn-prod.BU_ECOM.DLS_ALL_TRANS_V3_1`
  WHERE MERCHANT = 'TIKTOK'
  AND DATE &gt;= '2024-11-01'
  AND DATE &lt; '2024-12-01'
)
SELECT COUNT(DISTINCT n.USER_ID) as new_users_count
FROM november_users n
LEFT JOIN previous_users p
ON n.USER_ID = p.USER_ID
WHERE p.USER_ID IS NULL;</t>
  </si>
  <si>
    <r>
      <rPr/>
      <t xml:space="preserve">Updated:
Example: </t>
    </r>
    <r>
      <rPr>
        <color rgb="FF1155CC"/>
        <u/>
      </rPr>
      <t>https://mimir.mservice.io/chat/68410d3ef95aa40576d075d8</t>
    </r>
  </si>
  <si>
    <r>
      <rPr/>
      <t xml:space="preserve">Updated:
Example: </t>
    </r>
    <r>
      <rPr>
        <color rgb="FF1155CC"/>
        <u/>
      </rPr>
      <t>https://mimir.mservice.io/chat/68410d3ef95aa40576d075d8</t>
    </r>
  </si>
  <si>
    <t>Thiếu cate = MAKETPLACE nhưng đúng logic New</t>
  </si>
  <si>
    <r>
      <rPr>
        <rFont val="Arial"/>
        <color theme="1"/>
      </rPr>
      <t xml:space="preserve">Suggest format câu hỏi giống DataGPT như:
- @Retention MoM của dịch vụ </t>
    </r>
    <r>
      <rPr>
        <rFont val="Arial"/>
        <b/>
        <color theme="1"/>
      </rPr>
      <t>ads</t>
    </r>
    <r>
      <rPr>
        <rFont val="Arial"/>
        <color theme="1"/>
      </rPr>
      <t xml:space="preserve"> trong </t>
    </r>
    <r>
      <rPr>
        <rFont val="Arial"/>
        <b/>
        <color theme="1"/>
      </rPr>
      <t>tháng 1 năm 2025</t>
    </r>
  </si>
  <si>
    <t>Tổng GMV và Trans của Nhóm Light User của cate ADS PAYMENT ntn trong 3 tháng quý 2 năm 2024</t>
  </si>
  <si>
    <t>with light_user as (
  select distinct user_id
  from `momovn-prod.BU_ECOM.USER_SPENDING_SEGMENT_BY_CATE_V3`
  where month between '2024-04-01' and '2024-06-01' and cate = 'ADS PAYMENT' and USER_SEGMENT = '3. Light'
)
select 
  month,
  count (distinct t2.user_id) as total_user,
  count (distinct order_id) as total_trans,
  sum (net_rev) as rev,
  count (distinct case when cate = 'ADS PAYMENT' then t2.user_id end) as ad_user,
  count( distinct case when cate = 'ADS PAYMENT' then order_id end) as ads_trans,
  sum (case when cate = 'ADS PAYMENT' then net_rev end) as ads_rev
from light_user t1
inner join `momovn-prod.BU_ECOM.DLS_ALL_TRANS_V3_1` t2 using (user_id)
where month &gt;= '2024-04-01' and month &lt;= '2024-06-01'
group by 1
order by 1</t>
  </si>
  <si>
    <t>SELECT 
  user_spend.USER_ID, 
  SUM(user_spend.GMV) AS total_gmv, 
  SUM(user_spend.TRANS) AS total_trans
FROM 
  `momovn-mimir.MIMIR.USER_SPENDING_SEGMENT_BY_CATE_V3` AS user_spend
JOIN 
  `momovn-mimir.MIMIR.DLS_ALL_TRANS_V3_1` AS trans
  ON user_spend.USER_ID = trans.USER_ID 
  AND user_spend.CATE = trans.CATE
WHERE 
  user_spend.CATE = 'ADS PAYMENT'
  AND user_spend.USER_SEGMENT = '3. Light'
  AND trans.DATE BETWEEN '2024-04-01' AND '2024-06-30'
GROUP BY 
  user_spend.USER_ID
ORDER BY 
  total_gmv DESC
LIMIT 10;</t>
  </si>
  <si>
    <t xml:space="preserve">SELECT 
    FORMAT_DATE('%Y-%m', MONTH) AS Month,
    SUM(GMV) AS Total_GMV,
    SUM(TRANS) AS Total_Transactions
FROM 
    `momovn-prod.BU_ECOM.USER_SPENDING_SEGMENT_BY_CATE_V3`
WHERE 
    USER_SEGMENT = '3. Light' 
    AND CATE = 'ADS PAYMENT'
    AND MONTH BETWEEN '2024-04-01' AND '2024-06-30'
GROUP BY 
    Month
ORDER BY 
    Month
LIMIT 25
</t>
  </si>
  <si>
    <t>Tổng Transactions và GMV của nhóm Light User của cate ADS PAYMENT trong 3 tháng quý 2 năm 2024</t>
  </si>
  <si>
    <t>SELECT 
  SUM(TRANS) AS total_transactions, 
  SUM(GMV) AS total_gmv
FROM 
  `momovn-prod.BU_ECOM.USER_SPENDING_SEGMENT_BY_CATE_V3`
WHERE 
  USER_SEGMENT = '3. Light' 
  AND CATE = 'ADS PAYMENT'
  AND MONTH BETWEEN '2024-04-01' AND '2024-06-30'
LIMIT 10;</t>
  </si>
  <si>
    <t>SELECT 
  SUM(transactions) AS total_transactions,
  SUM(GMV) AS total_GMV
FROM (
  SELECT 
    COUNT(*) AS transactions,
    SUM(t1.GMV) AS GMV
  FROM `momovn-mimir.MIMIR.DLS_ALL_TRANS_V3_1` AS t1
  JOIN `momovn-mimir.MIMIR.USER_SPENDING_SEGMENT_BY_CATE_V3` AS t2
  ON t1.USER_ID = t2.USER_ID
  WHERE t2.USER_SEGMENT = '3. Light'
  AND t1.CATE = 'ADS PAYMENT'
  AND t1.DATE BETWEEN '2024-04-01' AND '2024-06-30'
)
LIMIT 10;</t>
  </si>
  <si>
    <t>SELECT 
  MONTH,
  COUNT(ORDER_ID) as TOTAL_TRANSACTIONS,
  SUM(GMV) as TOTAL_GMV
FROM 
  `momovn-prod.BU_ECOM.DLS_ALL_TRANS_V3_1`
WHERE 
  CATE = "ADS PAYMENT"
  AND USER_ID IN (
    SELECT USER_ID 
    FROM `momovn-prod.BU_ECOM.USER_SPENDING_SEGMENT_BY_CATE_V3`
    WHERE USER_SEGMENT = "3. Light"
  )
  AND DATE &gt;= '2024-04-01' AND DATE &lt;= '2024-06-30'
GROUP BY 
  MONTH
ORDER BY 
  MONTH
LIMIT 25;</t>
  </si>
  <si>
    <t>select user_segment, count(distinct t1.user_id) as inactive_user_count
from momovn-prod.BU_ECOM.USER_SPENDING_SEGMENT_BY_CATE_V3 t1
left join momovn-prod.BU_ECOM.DLS_ALL_TRANS_V3_1 t2
on t1.user_id = t2.user_id
and t1.cate = t2.cate
and t1.month = DATE_SUB(DATE_TRUNC(t2.date, month), INTERVAL 1 month)
where t1.month = '2024-03-01' and t2.user_id is null
group by user_segment
order by user_segment</t>
  </si>
  <si>
    <t>WITH active_users AS (
  SELECT DISTINCT USER_ID
  FROM `momovn-mimir.MIMIR.DLS_ALL_TRANS_V3_1`
  WHERE EXTRACT(MONTH FROM DATE) = 3 AND EXTRACT(YEAR FROM DATE) = 2024
),
inactive_users AS (
  SELECT DISTINCT US.USER_ID, US.USER_SEGMENT
  FROM `momovn-mimir.MIMIR.USER_SPENDING_SEGMENT_BY_CATE_V3` US
  LEFT JOIN active_users AU ON US.USER_ID = AU.USER_ID
  WHERE AU.USER_ID IS NULL AND US.MONTH = '2024-03'
)
SELECT USER_SEGMENT, COUNT(USER_ID) AS INACTIVE_USER_COUNT
FROM inactive_users
GROUP BY USER_SEGMENT
ORDER BY INACTIVE_USER_COUNT DESC;</t>
  </si>
  <si>
    <t>SELECT 
  usbc.USER_SEGMENT,
  COUNT(DISTINCT t.USER_ID) AS inactive_users
FROM 
  `momovn-mimir.MIMIR.USER_SPENDING_SEGMENT_BY_CATE_V3` usbc
LEFT JOIN 
  `momovn-mimir.MIMIR.DLS_ALL_TRANS_V3_1` t
ON 
  usbc.USER_ID = t.USER_ID
  AND t.DATE BETWEEN '2024-03-01' AND '2024-03-31'
WHERE 
  usbc.MONTH = '2024-03-01'
  AND t.USER_ID IS NULL
GROUP BY 
  usbc.USER_SEGMENT;</t>
  </si>
  <si>
    <t>SELECT 
  u.USER_SEGMENT, 
  COUNT(DISTINCT u.USER_ID) AS inactive_users
FROM 
  `momovn-mimir.MIMIR.USER_SPENDING_SEGMENT_BY_CATE_V3` u 
LEFT JOIN 
  `momovn-mimir.MIMIR.DLS_ALL_TRANS_V3_1` t 
ON 
  u.USER_ID = t.USER_ID 
  AND FORMAT_DATE('%Y-%m', u.MONTH) = FORMAT_DATE('%Y-%m', t.DATE)
WHERE 
  u.MONTH = '2024-03-01' 
  AND t.USER_ID IS NULL
GROUP BY 
  u.USER_SEGMENT
ORDER BY 
  inactive_users DESC
LIMIT 10;</t>
  </si>
  <si>
    <t>SELECT 
  USER_SEGMENT, 
  COUNT(DISTINCT USER_ID) AS inactive_user_count
FROM `momovn-mimir.MIMIR.USER_SPENDING_SEGMENT_BY_CATE_V3`
WHERE MONTH = '2024-03-01' 
  AND USER_SEGMENT IS NULL
GROUP BY USER_SEGMENT
ORDER BY inactive_user_count DESC
LIMIT 10;</t>
  </si>
  <si>
    <t xml:space="preserve">SELECT USER_SEGMENT, COUNT(DISTINCT USER_ID) AS inact_user_count
FROM `momovn-prod.BU_ECOM.USER_SPENDING_SEGMENT_BY_CATE_V3`
WHERE USER_ID NOT IN (
  SELECT DISTINCT USER_ID
  FROM `momovn-prod.BU_ECOM.DLS_ALL_TRANS_V3_1`
  WHERE MONTH = '2024-03-01'
)
AND MONTH = '2024-03-01'
GROUP BY USER_SEGMENT
ORDER BY inact_user_count DESC
LIMIT 25
</t>
  </si>
  <si>
    <t>WITH active_users AS (
  SELECT DISTINCT USER_ID
  FROM `momovn-prod.BU_ECOM.DLS_ALL_TRANS_V3_1`
  WHERE MONTH = '2024-03-01'
),
all_segmented_users AS (
  SELECT DISTINCT USER_ID, USER_SEGMENT
  FROM `momovn-prod.BU_ECOM.USER_SPENDING_SEGMENT_BY_CATE_V3`
  WHERE MONTH = '2024-03-01'
  AND USER_SEGMENT IS NOT NULL
)
SELECT 
  USER_SEGMENT,
  COUNT(DISTINCT u.USER_ID) as inactive_users
FROM all_segmented_users u
LEFT JOIN active_users a ON u.USER_ID = a.USER_ID
WHERE a.USER_ID IS NULL
GROUP BY USER_SEGMENT
ORDER BY USER_SEGMENT;</t>
  </si>
  <si>
    <t>Đang nhờ chị Nga kiểm tra lại cách hỏi</t>
  </si>
  <si>
    <t>Số user chỉ dùng nguồn tiền NHLK theo tháng từ tháng 2/2024 đến tháng 5/2024</t>
  </si>
  <si>
    <t>WITH all_users_money_sources AS (
  SELECT 
    DISTINCT USER_ID,
    MONTH,
    MONEY_SOURCE
  FROM `momovn-prod.BU_ECOM.DLS_ALL_TRANS_V3_1`
  WHERE MONTH BETWEEN '2024-02-01' AND '2024-05-01'
),
only_banklink_users AS (
  SELECT 
    USER_ID,
    MONTH
  FROM all_users_money_sources a
  WHERE NOT EXISTS (
    SELECT 1 
    FROM all_users_money_sources b 
    WHERE a.USER_ID = b.USER_ID 
    AND a.MONTH = b.MONTH 
    AND b.MONEY_SOURCE != 2
  )
  AND MONEY_SOURCE = 2
)
SELECT 
  MONTH,
  COUNT(DISTINCT USER_ID) as user_count
FROM only_banklink_users
GROUP BY MONTH
ORDER BY MONTH</t>
  </si>
  <si>
    <t>Cách đọc số hiệu quả</t>
  </si>
  <si>
    <t xml:space="preserve">Câu hỏi nằm ngoài scope của MiMir, vui lòng hỏi các câu hỏi liên quan đến dữ liệu của Domain như là:
</t>
  </si>
  <si>
    <t>SELECT c.tranid, d.user_id, d.city, d.age, c.transaction_amount, c.transaction_type
FROM `momovn-mimir.MIMIR.iDeA_TRANS_CORE` c
JOIN `momovn-mimir.MIMIR.iDeA_TRANS_DEMOGRAPHIC` d
ON c.user_id = d.user_id;</t>
  </si>
  <si>
    <t>The provided context does not relate to the dataset, which contains transaction and demographic information. 
To proceed with the dataset described, here are some example questions that might be asked related to it, along with the relevant tables:
1. What is the total transaction amount per merchant?
2. How many transactions occurred in each city?
3. What is the average age of users by city group?
4. Which transaction type is most common for each usecase?
If you have any specific question related to the dataset, please provide it, and I'll help generate the appropriate SQL query.</t>
  </si>
  <si>
    <t>SELECT 
  date,
  SUM(transaction_amount) AS total_transaction_amount
FROM `momovn-mimir.MIMIR.iDeA_TRANS_CORE`
GROUP BY date
ORDER BY date
LIMIT 10;</t>
  </si>
  <si>
    <t>Xin chào! Bạn có muốn tôi tìm hiểu thêm về cách tính tổng số giao dịch theo thành phố hoặc nhóm tuổi không? Nếu không, bạn có thể cung cấp thêm thông tin cụ thể về câu hỏi của mình.</t>
  </si>
  <si>
    <t>Sure! Here's a list of some simple questions you might want to ask:
- How to get the average transaction amount per user?
- What is the total transaction amount for each merchant?
- How many transactions happened in each month?
If you have any specific query in mind, please provide more details so I can help you accordingly!</t>
  </si>
  <si>
    <t>Recommend possible analysis about domain</t>
  </si>
  <si>
    <t>Exploring your transaction and demographic data can be quite insightful. Here are some suggestions for analysis:
Total Transaction Volume: Find the total volume of transactions within a specified date range.
Average Transaction Value: Calculate the average transaction amount per user.
Top Merchants: Identify the top 10 merchants based on transaction volume.
User Demographics: Analyze the distribution of users by age group or city group.
Voucher Utilization: Measure how often vouchers are used across transactions.
Source of Funds Analysis: Determine the most common sources of funds for transactions.
If you would like to proceed with any specific analysis, please let me know!</t>
  </si>
  <si>
    <t>SELECT 
    (COUNT(CASE WHEN voucher_amount &gt; 0 THEN 1 END) / COUNT(*)) * 100 AS percentage_with_voucher
FROM `momovn-mimir.MIMIR.iDeA_TRANS_CORE`;</t>
  </si>
  <si>
    <t>Based on the provided schema, here are some possible questions that could be analyzed:
1. What are the total transaction amounts per use case?
2. Which city has the highest number of users?
3. What is the average transaction amount by age group?
4. How much voucher amount is used by each source of fund?
5. What is the total transaction amount for each merchant?
6. What are the most common transaction types by city group?
These questions leverage different aspects of the provided data, such as transaction details and user demographics. You can generate SQL queries accordingly to analyze these questions.</t>
  </si>
  <si>
    <t>Certainly! Here are some suggestions for simple questions you can analyze with your data:
1. Total number of transactions for each use case.
2. Total transaction amount for each city.
3. Average transaction amount by age group.
4. Distribution of transaction types (CASHIN, CASHOUT, etc.).
5. Average voucher amount by source of fund.
Would you like a query for any of these analyses or do you have another specific question in mind?</t>
  </si>
  <si>
    <t>Sure, here are some simple questions that might be interesting for analysis:
1. What is the total transaction amount segmented by different use cases?
2. What are the top 10 users with the highest transaction amounts?
3. How does the average transaction amount vary across different age groups?
4. What is the distribution of transaction types in each city?
5. Which merchants have the highest total transaction amounts?
6. How many transactions are funded by different sources of funds?
7. What is the trend of transaction amounts over months?
You can start with any of these questions and I can help to generate the corresponding SQL query. Which one would you like to start with, or do you have any other specific analysis in mind?</t>
  </si>
  <si>
    <t>Sure, here are some simple question suggestions for analysis within the domain:
1. What is the total transaction amount by each use case?
2. How many transactions occurred in each city group?
3. What is the average age of users for each transaction type?
4. Which merchant had the highest voucher amount redeemed?
5. How much money was transferred through each source of fund?
Would you like to get the SQL query for any of these questions?</t>
  </si>
  <si>
    <t>Note</t>
  </si>
  <si>
    <t>Phương pháp:</t>
  </si>
  <si>
    <t>Sử dụng ChatGPT</t>
  </si>
  <si>
    <t>Tổng số lượng giao dịch theo từng dịch vụ trong quý 1 năm 2024 là bao nhiêu?</t>
  </si>
  <si>
    <t>Transaction_MoMo</t>
  </si>
  <si>
    <t>Duyệt</t>
  </si>
  <si>
    <t>System:</t>
  </si>
  <si>
    <t>### Role:
You are an SQL evaluation system.
### Input
You will receive an information domain knowledge about dataset schema and context background.
Around some data angles and question sample.
### Mission:
You help users generate data questions (around 10 questions) about this Domain
### Languges
English and Tiếng Việt (Vietnamese)
### Output:
{first question}
{second question}
{third question}
continue...</t>
  </si>
  <si>
    <t>Bao nhiêu người dùng đã thực hiện giao dịch vào tháng 1 năm 2024 và vẫn tiếp tục giao dịch vào tháng 2 năm 2024?</t>
  </si>
  <si>
    <t>Có bao nhiêu người dùng hardcore (người dùng thường xuyên) trong tháng 2 năm 2024?</t>
  </si>
  <si>
    <t>Kiểm tra lại</t>
  </si>
  <si>
    <t>Chênh lệch cụ thể của số lượng người dùng tại Hà Nội trong tháng 4 và tháng 5 năm 2024 là bao nhiêu?</t>
  </si>
  <si>
    <t>Thông tin Domain
Data Angles
Sample Questions</t>
  </si>
  <si>
    <t>Số lượng giao dịch cashin trong quý 1 năm 2024 là bao nhiêu?</t>
  </si>
  <si>
    <t>Xu hướng người dùng hoạt động hàng tháng (MAU) từ đầu năm 2024 cho đến nay như thế nào?</t>
  </si>
  <si>
    <t>Không duyệt</t>
  </si>
  <si>
    <t>Constraint</t>
  </si>
  <si>
    <r>
      <rPr>
        <rFont val="Arial"/>
        <b/>
        <color theme="1"/>
      </rPr>
      <t>Một số domain mới sẽ thiếu angles và samples + thiếu tính logic, thực tiễn</t>
    </r>
    <r>
      <rPr>
        <rFont val="Arial"/>
        <color theme="1"/>
      </rPr>
      <t xml:space="preserve">
Thiếu domain của nhiều lĩnh vực khác
Nhiều câu hỏi cần xác thực lại cách hỏi</t>
    </r>
  </si>
  <si>
    <t>Số lượng người dùng đã sử dụng dịch vụ APPLICATION STORE trong tháng 3 năm 2024 là bao nhiêu?</t>
  </si>
  <si>
    <t>Có thể tận dùng log user hỏi về domain này</t>
  </si>
  <si>
    <t>Có bao nhiêu giao dịch CASHIN trong tháng 3 năm 2024?</t>
  </si>
  <si>
    <t>Số lượng giao dịch phát sinh tại merchant GOOGLE trong tháng 3 năm 2024 là bao nhiêu?</t>
  </si>
  <si>
    <t>Số lượng MAU tại thành phố Hà Nội trong năm 2024 là bao nhiêu?</t>
  </si>
  <si>
    <t>Phân nhóm người dùng theo độ tuổi trong tháng 4 năm 2024 như thế nào?</t>
  </si>
  <si>
    <t>Tỷ lệ giữ chân người dùng MoMo trong năm 2024 là bao nhiêu?</t>
  </si>
  <si>
    <t>Tỷ lệ cohort của người dùng MoMo trong năm 2024 là bao nhiêu?</t>
  </si>
  <si>
    <t>Số lượng người dùng từ 18 đến 22 tuổi thực hiện giao dịch vào tháng 4 năm 2024 là bao nhiêu?</t>
  </si>
  <si>
    <t>Phân tích các giao dịch theo nguồn vốn trong tháng 3 năm 2024?</t>
  </si>
  <si>
    <t>Tổng số lượng giao dịch P2P từ ví điện tử đến ví điện tử trong năm 2024 là bao nhiêu?</t>
  </si>
  <si>
    <t>Có bao nhiêu người dùng từ Hồ Chí Minh thực hiện giao dịch cashout trong quý 2 năm 2024?</t>
  </si>
  <si>
    <t>Số lượng người dùng sử dụng voucher trong giao dịch trong tháng 5 năm 2024 là bao nhiêu?</t>
  </si>
  <si>
    <t>Phân tích lịch sử giao dịch của người dùng trong nhóm tuổi [5].36-50 trong quý 1 năm 2024?</t>
  </si>
  <si>
    <t>So sánh tổng số lượng giao dịch giữa các nhóm tuổi khác nhau trong năm 2024.</t>
  </si>
  <si>
    <t>What is the total amount of transactions made in September 2024?</t>
  </si>
  <si>
    <t>How many successful transactions were made by new users in August 2024?</t>
  </si>
  <si>
    <t>Tổng số tiền đã chi tiêu bởi người dùng nữ trong tháng 9 năm 2024 là bao nhiêu?</t>
  </si>
  <si>
    <t>What is the average transaction amount for the age group 23_to_27 in October 2024?</t>
  </si>
  <si>
    <t>How many recover users (segment_user) churned for more than 4 months in 2024?</t>
  </si>
  <si>
    <t>Tổng doanh thu từ các giao dịch sử dụng mã khuyến mãi trong năm 2024 là bao nhiêu?</t>
  </si>
  <si>
    <t>What is the most popular service category by transaction quantity in November 2024?</t>
  </si>
  <si>
    <t>Số lượng giao dịch thất bại trong tháng 10 năm 2023 là bao nhiêu?</t>
  </si>
  <si>
    <t>How many male users are from Hanoi and made transactions in October 2024?</t>
  </si>
  <si>
    <t>Xu hướng doanh thu hàng tháng của dịch vụ COMBO trong năm 2024 như thế nào?</t>
  </si>
  <si>
    <t>What is the total GMV grouped by different service types in the month of February 2024?</t>
  </si>
  <si>
    <t>Trong tháng 3 năm 2023, số lượng giao dịch thất bại (statusid = 6) là bao nhiêu?</t>
  </si>
  <si>
    <t>What is the average transaction amount for users under the age group 23_to_27 in November 2024?</t>
  </si>
  <si>
    <t>Tổng doanh thu từ các giao dịch sử dụng khuyến mãi chiếm nhiều trong tổng giá trị GMV vào năm 2024 là bao nhiêu?</t>
  </si>
  <si>
    <t>How many transactions were made using the momo wallet as the payment method in December 2024?</t>
  </si>
  <si>
    <t>Số lượng giao dịch của người dùng ở khu vực Hồ Chí Minh trong tháng 10 năm 2024 là bao nhiêu?</t>
  </si>
  <si>
    <t>What is the average amount of successful transactions (statusid = 2) by users segmented as "Loyal Customers" in the first quarter of 2024?</t>
  </si>
  <si>
    <t>Tổng số đơn vị sản phẩm được nạp trong các giao dịch dịch vụ Topup vào tháng 4 năm 2024 là bao nhiêu?</t>
  </si>
  <si>
    <t>How many transactions were made by users identified as "hardcore" in the month of January 2024?</t>
  </si>
  <si>
    <t>What is the total AOV for recover_users with a churn_duration above 3 months in the year 2023?</t>
  </si>
  <si>
    <t>Tổng số giao dịch (transactions) của người dùng được xác định là 'Heavy' trong danh mục 'RETAIL' vào tháng 8 năm 2024.</t>
  </si>
  <si>
    <t>Tổng GMV của người dùng trong danh mục 'LOGISTICS' tại Hà Nội vào tháng 7 năm 2024.</t>
  </si>
  <si>
    <t>Số lượng giao dịch được thực hiện qua nguồn tiền là 'MoMo wallet' trong tháng 6 năm 2024.</t>
  </si>
  <si>
    <t>Tổng số tiền hoàn lại (refund amount) của giao dịch 'billpay' từ tháng 2/2024 đến tháng 5/2024.</t>
  </si>
  <si>
    <t>Doanh thu (revenue) của dịch vụ 'APPLE ICLOUD' vào tháng 6 năm 2024.</t>
  </si>
  <si>
    <t>Tổng số GMV và Transactions của nhóm Medium User tại thành phố Hồ Chí Minh trong tháng 3 năm 2024.</t>
  </si>
  <si>
    <t>Số người dùng trung thành (Cheating = 'NOT CHEAT') với danh mục 'SME OFFLINE' trong quý 2 năm 2024.</t>
  </si>
  <si>
    <t>Số người dùng đã hoàn thành 'KYC' vào tháng 10 năm 2024.</t>
  </si>
  <si>
    <t>Tổng GMV của các người dùng nhóm Heavy trong danh mục 'APPLICATION STORE' vào tháng 8 năm 2024.</t>
  </si>
  <si>
    <t>Số người dùng sử dụng chính sách 'Cashback' trong tháng 9 năm 2024.</t>
  </si>
  <si>
    <t>Tổng số giao dịch của người dùng nhóm 'Heavy' trong danh mục 'RETAIL' vào tháng 8 năm 2024.</t>
  </si>
  <si>
    <t>Tổng số tiền hoàn lại của giao dịch 'billpay' từ tháng 2/2024 đến tháng 5/2024.</t>
  </si>
  <si>
    <t>Doanh thu của dịch vụ 'APPLE ICLOUD' vào tháng 6 năm 2024.</t>
  </si>
  <si>
    <t>Tổng GMV và lượng giao dịch của nhóm người dùng 'Medium' tại thành phố Hồ Chí Minh trong tháng 3 năm 2024.</t>
  </si>
  <si>
    <t>Số người dùng trung thành với danh mục 'SME OFFLINE' trong quý 2 năm 2024.</t>
  </si>
  <si>
    <t>Tổng GMV của nhóm người dùng 'Heavy' trong danh mục 'APPLICATION STORE' vào tháng 8 năm 2024.</t>
  </si>
  <si>
    <t>What was the total traffic pool for each touchpoint group on October 2, 2024?</t>
  </si>
  <si>
    <t>Promotion</t>
  </si>
  <si>
    <t>How many unique users interacted with the PROMOTION_HUB touchpoint group on October 4, 2024?</t>
  </si>
  <si>
    <t>Which touchpoint group had the highest number of user pool on October 8, 2024?</t>
  </si>
  <si>
    <t>How many sessions involved voucher collection from the SMART_WIDGET touchpoint group on October 7, 2024?</t>
  </si>
  <si>
    <t>Can you provide a trendline for the traffic pool across all touchpoint groups for the first week of October 2024?</t>
  </si>
  <si>
    <t>What was the average number of user interactions per touchpoint group in the first week of October 2024?</t>
  </si>
  <si>
    <t>How did the number of unique users collecting vouchers on October 7, 2024, compare between SMART_WIDGET and PROMOTION_HUB touchpoint groups?</t>
  </si>
  <si>
    <t>Which touchpoint group had the highest number of transactions associated with voucher redemption on October 5, 2024?</t>
  </si>
  <si>
    <t>How many unique promotion types were redeemed from the MY_VOUCHER touchpoint group on October 8, 2024?</t>
  </si>
  <si>
    <t>What was the total number of sessions for the POS touchpoint group across all observed dates in the dataset?</t>
  </si>
  <si>
    <t>What is the average number of unique users who interacted with each touchpoint group in October 2024?</t>
  </si>
  <si>
    <t>How many sessions resulted in voucher collections for each touchpoint group on October 5, 2024?</t>
  </si>
  <si>
    <t>What are the total pages or screen views for the "PROMOTION_HUB" touchpoint group over the month of October 2024?</t>
  </si>
  <si>
    <t>How many unique users collected vouchers from each touchpoint group on October 7, 2024?</t>
  </si>
  <si>
    <t>Which touchpoint group had the highest number of interaction events on October 4, 2024?</t>
  </si>
  <si>
    <t>What is the trendline of user interactions in the "SMART_WIDGET" touchpoint group over the first week of October 2024?</t>
  </si>
  <si>
    <t>How many unique users viewed the "MY_VOUCHER" touchpoint group on October 8, 2024?</t>
  </si>
  <si>
    <t>Which touchpoint group had the most significant decrease in daily engaged users (DEU) in the past month?</t>
  </si>
  <si>
    <t>How many transactions were associated with voucher redemptions from the "POS" touchpoint group on October 5, 2024?</t>
  </si>
  <si>
    <t>In the month of October 2024, how many unique promotion types were redeemed each day across all touchpoint groups?</t>
  </si>
  <si>
    <t>Số lượng người dùng tương tác trung bình với từng nhóm touchpoint vào tháng 10 năm 2024 là bao nhiêu?</t>
  </si>
  <si>
    <t>Tổng số phiên thu thập voucher với từng nhóm touchpoint vào ngày 5 tháng 10 năm 2024 là bao nhiêu?</t>
  </si>
  <si>
    <t>Tổng số lượt xem trang hoặc màn hình của nhóm touchpoint "PROMOTION_HUB" trong tháng 10 năm 2024 là bao nhiêu?</t>
  </si>
  <si>
    <t>Có bao nhiêu người dùng duy nhất thu thập voucher từ từng nhóm touchpoint vào ngày 7 tháng 10 năm 2024?</t>
  </si>
  <si>
    <t>Nhóm touchpoint nào có số lượng sự kiện tương tác cao nhất vào ngày 4 tháng 10 năm 2024?</t>
  </si>
  <si>
    <t>Xu hướng tương tác của người dùng trong nhóm touchpoint "SMART_WIDGET" trong tuần đầu tiên của tháng 10 năm 2024 là gì?</t>
  </si>
  <si>
    <t>Có bao nhiêu người dùng duy nhất đã xem nhóm touchpoint "MY_VOUCHER" vào ngày 8 tháng 10 năm 2024?</t>
  </si>
  <si>
    <t>Nhóm touchpoint nào có sự suy giảm đáng kể nhất về người dùng tương tác hàng ngày (DEU) trong tháng qua?</t>
  </si>
  <si>
    <t>Có bao nhiêu giao dịch liên quan đến việc đổi voucher từ nhóm touchpoint "POS" vào ngày 5 tháng 10 năm 2024?</t>
  </si>
  <si>
    <t>Trong tháng 10 năm 2024, có bao nhiêu loại khuyến mãi duy nhất đã được đổi mỗi ngày trên tất cả các nhóm touchpoint?</t>
  </si>
  <si>
    <t>User Query</t>
  </si>
  <si>
    <t>Sử dụng BigQuery Log</t>
  </si>
  <si>
    <t>xuất cate, user</t>
  </si>
  <si>
    <t xml:space="preserve">select
month_active,
  cate,
  count(distinct user_payment) as user
from `project-5400504384186300846.BU_UTILITIES_TELCO.AIRTIME_DETAILS`
where statusid = 2
  and month_active &gt;= '2024-01-01'
group by 1,2
</t>
  </si>
  <si>
    <t>khanh.tran1@mservice.com.vn</t>
  </si>
  <si>
    <t>Log các câu query chỉ sử dụng bảng trong Domain đó</t>
  </si>
  <si>
    <t xml:space="preserve">select
--month_active,
date,
  --cate,
  count(distinct user_payment) as user
from `project-5400504384186300846.BU_UTILITIES_TELCO.AIRTIME_DETAILS`
where statusid = 2
  and month_active &gt;= '2024-10-01'
group by 1
</t>
  </si>
  <si>
    <t>SELECT *
FROM `momovn-prod.MBI_DA.TUD_Architecture_F_User_ver2`
INNER JOIN (
  SELECT JOB_ID, QUERY, ETL_DATE
  FROM `momovn-prod.GR_PLT_RESOURCE_MANAGEMENT.BQ_QUERY`
  WHERE ETL_DATE &gt;= "2024-09-01"
) USING(ETL_DATE, JOB_ID)
WHERE ETL_DATE &gt;= "2024-09-01"
AND ARRAY_LENGTH(From_Table) = 1
AND  From_Table[OFFSET(0)] = "project-5400504384186300846.BU_UTILITIES_TELCO.AIRTIME_DETAILS"
AND QUERY_CATEGORY = "Ad-hoc"</t>
  </si>
  <si>
    <t xml:space="preserve">select
--month_active,
date,
  cate,
  count(distinct user_payment) as user
from `project-5400504384186300846.BU_UTILITIES_TELCO.AIRTIME_DETAILS`
where statusid = 2
  and month_active &gt;= '2024-10-01'
group by 1,2
</t>
  </si>
  <si>
    <t>tìm thông tin nhóm thành toán TOPUP với GMV &gt; 50000 rồi join với tháng sau</t>
  </si>
  <si>
    <t xml:space="preserve">with raw as(
select
  month_active,
  user_payment,
  count(distinct id) as trans,
  sum(amount) as gmv
from `project-5400504384186300846.BU_UTILITIES_TELCO.AIRTIME_DETAILS`
where statusid = 2
  and service = 'TOPUP'
  and date &gt; '2023-03-31'
  and amount &gt;= 50000
group by 1,2
)
select
  month_active,
  count(distinct user_payment) as user
from raw
where trans &gt; 1
and gmv &gt;= 500000
group by 1
</t>
  </si>
  <si>
    <t>le.nguyen3@mservice.com.vn</t>
  </si>
  <si>
    <t xml:space="preserve">with raw as(
select
  month_active,
  user_payment,
  count(distinct id) as trans,
  sum(amount) as gmv
from `project-5400504384186300846.BU_UTILITIES_TELCO.AIRTIME_DETAILS`
where statusid = 2
  and service = 'TOPUP'
  and date &gt; '2024-03-31'
  and amount &gt;= 50000
group by 1,2
)
select
  month_active,
  count(distinct user_payment) as user
from raw
where trans &gt; 1
and gmv &gt;= 500000
group by 1
order bby1
</t>
  </si>
  <si>
    <t xml:space="preserve">with raw as(
select
  month_active,
  user_payment,
  count(distinct id) as trans,
  sum(amount) as gmv
from `project-5400504384186300846.BU_UTILITIES_TELCO.AIRTIME_DETAILS`
where statusid = 2
  and service = 'TOPUP'
  and date &gt; '2024-03-31'
  and amount &gt;= 50000
group by 1,2
)
select
  month_active,
  count(distinct user_payment) as user
from raw
where trans &gt; 1
and gmv &gt;= 500000
group by 1
order by 1
</t>
  </si>
  <si>
    <t>Các domain base trên bộ schema mới tạo sẽ không có log</t>
  </si>
  <si>
    <t>Loại user sử dụng promotion type</t>
  </si>
  <si>
    <t xml:space="preserve">
        SELECT 
        CAST(previous_voucher_type_by_gmv AS STRING) AS value,
        COUNT(*) AS freq
        FROM `project-5400504384186300846.BU_UTILITIES_TELCO.AIRTIME_DETAILS`
        GROUP BY value
        ORDER BY freq DESC
        LIMIT 5
        </t>
  </si>
  <si>
    <t>mimir-prod@momovn-prod.iam.gserviceaccount.com</t>
  </si>
  <si>
    <t xml:space="preserve">
        SELECT 
        CAST(previous_voucher_type_by_trans AS STRING) AS value,
        COUNT(*) AS freq
        FROM `project-5400504384186300846.BU_UTILITIES_TELCO.AIRTIME_DETAILS`
        GROUP BY value
        ORDER BY freq DESC
        LIMIT 5
        </t>
  </si>
  <si>
    <t xml:space="preserve">
        SELECT 
        CAST(id AS STRING) AS value,
        COUNT(*) AS freq
        FROM `project-5400504384186300846.BU_UTILITIES_TELCO.AIRTIME_DETAILS`
        GROUP BY value
        ORDER BY freq DESC
        LIMIT 5
        </t>
  </si>
  <si>
    <t xml:space="preserve">
        SELECT 
        CAST(age AS STRING) AS value,
        COUNT(*) AS freq
        FROM `project-5400504384186300846.BU_UTILITIES_TELCO.AIRTIME_DETAILS`
        GROUP BY value
        ORDER BY freq DESC
        LIMIT 5
        </t>
  </si>
  <si>
    <t xml:space="preserve">
        SELECT 
        CAST(cate AS STRING) AS value,
        COUNT(*) AS freq
        FROM `project-5400504384186300846.BU_UTILITIES_TELCO.AIRTIME_DETAILS`
        GROUP BY value
        ORDER BY freq DESC
        LIMIT 5
        </t>
  </si>
  <si>
    <t xml:space="preserve">
        SELECT 
        CAST(date AS STRING) AS value,
        COUNT(*) AS freq
        FROM `project-5400504384186300846.BU_UTILITIES_TELCO.AIRTIME_DETAILS`
        GROUP BY value
        ORDER BY freq DESC
        LIMIT 5
        </t>
  </si>
  <si>
    <t xml:space="preserve">
        SELECT 
        CAST(bonus AS STRING) AS value,
        COUNT(*) AS freq
        FROM `project-5400504384186300846.BU_UTILITIES_TELCO.AIRTIME_DETAILS`
        GROUP BY value
        ORDER BY freq DESC
        LIMIT 5
        </t>
  </si>
  <si>
    <t xml:space="preserve">
        SELECT 
        CAST(amount AS STRING) AS value,
        COUNT(*) AS freq
        FROM `project-5400504384186300846.BU_UTILITIES_TELCO.AIRTIME_DETAILS`
        GROUP BY value
        ORDER BY freq DESC
        LIMIT 5
        </t>
  </si>
  <si>
    <t xml:space="preserve">
        SELECT 
        CAST(expire AS STRING) AS value,
        COUNT(*) AS freq
        FROM `project-5400504384186300846.BU_UTILITIES_TELCO.AIRTIME_DETAILS`
        GROUP BY value
        ORDER BY freq DESC
        LIMIT 5
        </t>
  </si>
  <si>
    <t xml:space="preserve">
        SELECT 
        CAST(gender AS STRING) AS value,
        COUNT(*) AS freq
        FROM `project-5400504384186300846.BU_UTILITIES_TELCO.AIRTIME_DETAILS`
        GROUP BY value
        ORDER BY freq DESC
        LIMIT 5
        </t>
  </si>
  <si>
    <t xml:space="preserve">
        SELECT 
        CAST(region AS STRING) AS value,
        COUNT(*) AS freq
        FROM `project-5400504384186300846.BU_UTILITIES_TELCO.AIRTIME_DETAILS`
        GROUP BY value
        ORDER BY freq DESC
        LIMIT 5
        </t>
  </si>
  <si>
    <t xml:space="preserve">
        SELECT 
        CAST(retain AS STRING) AS value,
        COUNT(*) AS freq
        FROM `project-5400504384186300846.BU_UTILITIES_TELCO.AIRTIME_DETAILS`
        GROUP BY value
        ORDER BY freq DESC
        LIMIT 5
        </t>
  </si>
  <si>
    <t xml:space="preserve">
        SELECT 
        CAST(suffix AS STRING) AS value,
        COUNT(*) AS freq
        FROM `project-5400504384186300846.BU_UTILITIES_TELCO.AIRTIME_DETAILS`
        GROUP BY value
        ORDER BY freq DESC
        LIMIT 5
        </t>
  </si>
  <si>
    <t xml:space="preserve">
        SELECT 
        CAST(typeid AS STRING) AS value,
        COUNT(*) AS freq
        FROM `project-5400504384186300846.BU_UTILITIES_TELCO.AIRTIME_DETAILS`
        GROUP BY value
        ORDER BY freq DESC
        LIMIT 5
        </t>
  </si>
  <si>
    <t xml:space="preserve">
        SELECT 
        CAST(gmv_mtd AS STRING) AS value,
        COUNT(*) AS freq
        FROM `project-5400504384186300846.BU_UTILITIES_TELCO.AIRTIME_DETAILS`
        GROUP BY value
        ORDER BY freq DESC
        LIMIT 5
        </t>
  </si>
  <si>
    <t xml:space="preserve">
        SELECT 
        CAST(partner AS STRING) AS value,
        COUNT(*) AS freq
        FROM `project-5400504384186300846.BU_UTILITIES_TELCO.AIRTIME_DETAILS`
        GROUP BY value
        ORDER BY freq DESC
        LIMIT 5
        </t>
  </si>
  <si>
    <t xml:space="preserve">
        SELECT 
        CAST(revenue AS STRING) AS value,
        COUNT(*) AS freq
        FROM `project-5400504384186300846.BU_UTILITIES_TELCO.AIRTIME_DETAILS`
        GROUP BY value
        ORDER BY freq DESC
        LIMIT 5
        </t>
  </si>
  <si>
    <t xml:space="preserve">
        SELECT 
        CAST(service AS STRING) AS value,
        COUNT(*) AS freq
        FROM `project-5400504384186300846.BU_UTILITIES_TELCO.AIRTIME_DETAILS`
        GROUP BY value
        ORDER BY freq DESC
        LIMIT 5
        </t>
  </si>
  <si>
    <t xml:space="preserve">
        SELECT 
        CAST(datetime AS STRING) AS value,
        COUNT(*) AS freq
        FROM `project-5400504384186300846.BU_UTILITIES_TELCO.AIRTIME_DETAILS`
        GROUP BY value
        ORDER BY freq DESC
        LIMIT 5
        </t>
  </si>
  <si>
    <t xml:space="preserve">
        SELECT 
        CAST(goi_cuoc AS STRING) AS value,
        COUNT(*) AS freq
        FROM `project-5400504384186300846.BU_UTILITIES_TELCO.AIRTIME_DETAILS`
        GROUP BY value
        ORDER BY freq DESC
        LIMIT 5
        </t>
  </si>
  <si>
    <t xml:space="preserve">
        SELECT 
        CAST(hardcore AS STRING) AS value,
        COUNT(*) AS freq
        FROM `project-5400504384186300846.BU_UTILITIES_TELCO.AIRTIME_DETAILS`
        GROUP BY value
        ORDER BY freq DESC
        LIMIT 5
        </t>
  </si>
  <si>
    <t xml:space="preserve">
        SELECT 
        CAST(menh_gia AS STRING) AS value,
        COUNT(*) AS freq
        FROM `project-5400504384186300846.BU_UTILITIES_TELCO.AIRTIME_DETAILS`
        GROUP BY value
        ORDER BY freq DESC
        LIMIT 5
        </t>
  </si>
  <si>
    <t xml:space="preserve">
        SELECT 
        CAST(merchant AS STRING) AS value,
        COUNT(*) AS freq
        FROM `project-5400504384186300846.BU_UTILITIES_TELCO.AIRTIME_DETAILS`
        GROUP BY value
        ORDER BY freq DESC
        LIMIT 5
        </t>
  </si>
  <si>
    <t xml:space="preserve">
        SELECT 
        CAST(prev_aov AS STRING) AS value,
        COUNT(*) AS freq
        FROM `project-5400504384186300846.BU_UTILITIES_TELCO.AIRTIME_DETAILS`
        GROUP BY value
        ORDER BY freq DESC
        LIMIT 5
        </t>
  </si>
  <si>
    <t xml:space="preserve">
        SELECT 
        CAST(province AS STRING) AS value,
        COUNT(*) AS freq
        FROM `project-5400504384186300846.BU_UTILITIES_TELCO.AIRTIME_DETAILS`
        GROUP BY value
        ORDER BY freq DESC
        LIMIT 5
        </t>
  </si>
  <si>
    <t xml:space="preserve">
        SELECT 
        CAST(quantity AS STRING) AS value,
        COUNT(*) AS freq
        FROM `project-5400504384186300846.BU_UTILITIES_TELCO.AIRTIME_DETAILS`
        GROUP BY value
        ORDER BY freq DESC
        LIMIT 5
        </t>
  </si>
  <si>
    <t xml:space="preserve">
        SELECT 
        CAST(rfm_type AS STRING) AS value,
        COUNT(*) AS freq
        FROM `project-5400504384186300846.BU_UTILITIES_TELCO.AIRTIME_DETAILS`
        GROUP BY value
        ORDER BY freq DESC
        LIMIT 5
        </t>
  </si>
  <si>
    <t xml:space="preserve">
        SELECT 
        CAST(statusid AS STRING) AS value,
        COUNT(*) AS freq
        FROM `project-5400504384186300846.BU_UTILITIES_TELCO.AIRTIME_DETAILS`
        GROUP BY value
        ORDER BY freq DESC
        LIMIT 5
        </t>
  </si>
  <si>
    <t xml:space="preserve">
        SELECT 
        CAST(supplier AS STRING) AS value,
        COUNT(*) AS freq
        FROM `project-5400504384186300846.BU_UTILITIES_TELCO.AIRTIME_DETAILS`
        GROUP BY value
        ORDER BY freq DESC
        LIMIT 5
        </t>
  </si>
  <si>
    <t xml:space="preserve">
        SELECT 
        CAST(user_raw AS STRING) AS value,
        COUNT(*) AS freq
        FROM `project-5400504384186300846.BU_UTILITIES_TELCO.AIRTIME_DETAILS`
        GROUP BY value
        ORDER BY freq DESC
        LIMIT 5
        </t>
  </si>
  <si>
    <t xml:space="preserve">
        SELECT 
        CAST(group_age AS STRING) AS value,
        COUNT(*) AS freq
        FROM `project-5400504384186300846.BU_UTILITIES_TELCO.AIRTIME_DETAILS`
        GROUP BY value
        ORDER BY freq DESC
        LIMIT 5
        </t>
  </si>
  <si>
    <t xml:space="preserve">
        SELECT 
        CAST(mm_amount AS STRING) AS value,
        COUNT(*) AS freq
        FROM `project-5400504384186300846.BU_UTILITIES_TELCO.AIRTIME_DETAILS`
        GROUP BY value
        ORDER BY freq DESC
        LIMIT 5
        </t>
  </si>
  <si>
    <t xml:space="preserve">
        SELECT 
        CAST(serviceid AS STRING) AS value,
        COUNT(*) AS freq
        FROM `project-5400504384186300846.BU_UTILITIES_TELCO.AIRTIME_DETAILS`
        GROUP BY value
        ORDER BY freq DESC
        LIMIT 5
        </t>
  </si>
  <si>
    <t>group vc amount</t>
  </si>
  <si>
    <t xml:space="preserve">
        SELECT 
        CAST(vc_amount AS STRING) AS value,
        COUNT(*) AS freq
        FROM `project-5400504384186300846.BU_UTILITIES_TELCO.AIRTIME_DETAILS`
        GROUP BY value
        ORDER BY freq DESC
        LIMIT 5
        </t>
  </si>
  <si>
    <t xml:space="preserve">
        SELECT 
        CAST(dung_luong AS STRING) AS value,
        COUNT(*) AS freq
        FROM `project-5400504384186300846.BU_UTILITIES_TELCO.AIRTIME_DETAILS`
        GROUP BY value
        ORDER BY freq DESC
        LIMIT 5
        </t>
  </si>
  <si>
    <t>group subcate</t>
  </si>
  <si>
    <t xml:space="preserve">
        SELECT 
        CAST(subcategory AS STRING) AS value,
        COUNT(*) AS freq
        FROM `project-5400504384186300846.BU_UTILITIES_TELCO.AIRTIME_DETAILS`
        GROUP BY value
        ORDER BY freq DESC
        LIMIT 5
        </t>
  </si>
  <si>
    <t xml:space="preserve">
        SELECT 
        CAST(telcosource AS STRING) AS value,
        COUNT(*) AS freq
        FROM `project-5400504384186300846.BU_UTILITIES_TELCO.AIRTIME_DETAILS`
        GROUP BY value
        ORDER BY freq DESC
        LIMIT 5
        </t>
  </si>
  <si>
    <t xml:space="preserve">
        SELECT 
        CAST(ttt_segment AS STRING) AS value,
        COUNT(*) AS freq
        FROM `project-5400504384186300846.BU_UTILITIES_TELCO.AIRTIME_DETAILS`
        GROUP BY value
        ORDER BY freq DESC
        LIMIT 5
        </t>
  </si>
  <si>
    <t xml:space="preserve">
        SELECT 
        CAST(money_source AS STRING) AS value,
        COUNT(*) AS freq
        FROM `project-5400504384186300846.BU_UTILITIES_TELCO.AIRTIME_DETAILS`
        GROUP BY value
        ORDER BY freq DESC
        LIMIT 5
        </t>
  </si>
  <si>
    <t xml:space="preserve">
        SELECT 
        CAST(month_active AS STRING) AS value,
        COUNT(*) AS freq
        FROM `project-5400504384186300846.BU_UTILITIES_TELCO.AIRTIME_DETAILS`
        GROUP BY value
        ORDER BY freq DESC
        LIMIT 5
        </t>
  </si>
  <si>
    <t xml:space="preserve">
        SELECT 
        CAST(partner_type AS STRING) AS value,
        COUNT(*) AS freq
        FROM `project-5400504384186300846.BU_UTILITIES_TELCO.AIRTIME_DETAILS`
        GROUP BY value
        ORDER BY freq DESC
        LIMIT 5
        </t>
  </si>
  <si>
    <t xml:space="preserve">
        SELECT 
        CAST(service_code AS STRING) AS value,
        COUNT(*) AS freq
        FROM `project-5400504384186300846.BU_UTILITIES_TELCO.AIRTIME_DETAILS`
        GROUP BY value
        ORDER BY freq DESC
        LIMIT 5
        </t>
  </si>
  <si>
    <t xml:space="preserve">
        SELECT 
        CAST(user_payment AS STRING) AS value,
        COUNT(*) AS freq
        FROM `project-5400504384186300846.BU_UTILITIES_TELCO.AIRTIME_DETAILS`
        GROUP BY value
        ORDER BY freq DESC
        LIMIT 5
        </t>
  </si>
  <si>
    <t xml:space="preserve">
        SELECT 
        CAST(user_segment AS STRING) AS value,
        COUNT(*) AS freq
        FROM `project-5400504384186300846.BU_UTILITIES_TELCO.AIRTIME_DETAILS`
        GROUP BY value
        ORDER BY freq DESC
        LIMIT 5
        </t>
  </si>
  <si>
    <t xml:space="preserve">
        SELECT 
        CAST(group_service AS STRING) AS value,
        COUNT(*) AS freq
        FROM `project-5400504384186300846.BU_UTILITIES_TELCO.AIRTIME_DETAILS`
        GROUP BY value
        ORDER BY freq DESC
        LIMIT 5
        </t>
  </si>
  <si>
    <t xml:space="preserve">
        SELECT 
        CAST(churn_duration AS STRING) AS value,
        COUNT(*) AS freq
        FROM `project-5400504384186300846.BU_UTILITIES_TELCO.AIRTIME_DETAILS`
        GROUP BY value
        ORDER BY freq DESC
        LIMIT 5
        </t>
  </si>
  <si>
    <t xml:space="preserve">
        SELECT 
        CAST(promotion_type AS STRING) AS value,
        COUNT(*) AS freq
        FROM `project-5400504384186300846.BU_UTILITIES_TELCO.AIRTIME_DETAILS`
        GROUP BY value
        ORDER BY freq DESC
        LIMIT 5
        </t>
  </si>
  <si>
    <t xml:space="preserve">
        SELECT 
        CAST(province_group AS STRING) AS value,
        COUNT(*) AS freq
        FROM `project-5400504384186300846.BU_UTILITIES_TELCO.AIRTIME_DETAILS`
        GROUP BY value
        ORDER BY freq DESC
        LIMIT 5
        </t>
  </si>
  <si>
    <t xml:space="preserve">
        SELECT 
        CAST(voucher_or_not AS STRING) AS value,
        COUNT(*) AS freq
        FROM `project-5400504384186300846.BU_UTILITIES_TELCO.AIRTIME_DETAILS`
        GROUP BY value
        ORDER BY freq DESC
        LIMIT 5
        </t>
  </si>
  <si>
    <t xml:space="preserve">
        SELECT 
        CAST(hardcore_by_day AS STRING) AS value,
        COUNT(*) AS freq
        FROM `project-5400504384186300846.BU_UTILITIES_TELCO.AIRTIME_DETAILS`
        GROUP BY value
        ORDER BY freq DESC
        LIMIT 5
        </t>
  </si>
  <si>
    <t xml:space="preserve">
        SELECT 
        CAST(movement_status AS STRING) AS value,
        COUNT(*) AS freq
        FROM `project-5400504384186300846.BU_UTILITIES_TELCO.AIRTIME_DETAILS`
        GROUP BY value
        ORDER BY freq DESC
        LIMIT 5
        </t>
  </si>
  <si>
    <t xml:space="preserve">
        SELECT 
        CAST(telco_source_raw AS STRING) AS value,
        COUNT(*) AS freq
        FROM `project-5400504384186300846.BU_UTILITIES_TELCO.AIRTIME_DETAILS`
        GROUP BY value
        ORDER BY freq DESC
        LIMIT 5
        </t>
  </si>
  <si>
    <t xml:space="preserve">
        SELECT 
        CAST(partner_momo_user AS STRING) AS value,
        COUNT(*) AS freq
        FROM `project-5400504384186300846.BU_UTILITIES_TELCO.AIRTIME_DETAILS`
        GROUP BY value
        ORDER BY freq DESC
        LIMIT 5
        </t>
  </si>
  <si>
    <t xml:space="preserve">
        SELECT 
        CAST(promotion_cost_type AS STRING) AS value,
        COUNT(*) AS freq
        FROM `project-5400504384186300846.BU_UTILITIES_TELCO.AIRTIME_DETAILS`
        GROUP BY value
        ORDER BY freq DESC
        LIMIT 5
        </t>
  </si>
  <si>
    <t xml:space="preserve">
        SELECT 
        CAST(voucher_type_by_gmv AS STRING) AS value,
        COUNT(*) AS freq
        FROM `project-5400504384186300846.BU_UTILITIES_TELCO.AIRTIME_DETAILS`
        GROUP BY value
        ORDER BY freq DESC
        LIMIT 5
        </t>
  </si>
  <si>
    <t xml:space="preserve">
        SELECT 
        CAST(acquire_user_channel AS STRING) AS value,
        COUNT(*) AS freq
        FROM `project-5400504384186300846.BU_UTILITIES_TELCO.AIRTIME_DETAILS`
        GROUP BY value
        ORDER BY freq DESC
        LIMIT 5
        </t>
  </si>
  <si>
    <t xml:space="preserve">
        SELECT 
        CAST(last_3_month_rfm_type AS STRING) AS value,
        COUNT(*) AS freq
        FROM `project-5400504384186300846.BU_UTILITIES_TELCO.AIRTIME_DETAILS`
        GROUP BY value
        ORDER BY freq DESC
        LIMIT 5
        </t>
  </si>
  <si>
    <t xml:space="preserve">
        SELECT 
        CAST(voucher_type_by_trans AS STRING) AS value,
        COUNT(*) AS freq
        FROM `project-5400504384186300846.BU_UTILITIES_TELCO.AIRTIME_DETAILS`
        GROUP BY value
        ORDER BY freq DESC
        LIMIT 5
        </t>
  </si>
  <si>
    <t>select date_trunc(date, month) as month, 
`project-5400504384186300846.MBI_DA.convert_agent_to_phone`(cast(user_payment as string)) as phone,
service,
user_segment,
sum(amount) as gmv,
count(distinct id) as trans,
from `project-5400504384186300846.BU_UTILITIES_TELCO.AIRTIME_DETAILS`
where date between '2024-01-01' and '2024-09-30'
and statusid = 2
having phone like '089%'</t>
  </si>
  <si>
    <t>chi.dang1@mservice.com.vn</t>
  </si>
  <si>
    <t>with base as (
select date_trunc(date, month) as month, 
`project-5400504384186300846.MBI_DA.convert_agent_to_phone`(cast(user_payment as string)) as phone,
service,
user_segment,
sum(amount) as gmv,
count(distinct id) as trans,
from `project-5400504384186300846.BU_UTILITIES_TELCO.AIRTIME_DETAILS`
where date between '2024-01-01' and '2024-09-30'
and statusid = 2
group by 1,2,3,4)
-- having phone like '089%'
select month, service, 
sum(gmv) as gmv,
sum(trans) as trans,
sum(gmv) / sum(trans) as aov,
from base
where phone like '089%'
group by 1,2</t>
  </si>
  <si>
    <t>with base as (
select date_trunc(date, month) as month, 
`project-5400504384186300846.MBI_DA.convert_agent_to_phone`(cast(user_payment as string)) as phone,
service,
user_segment,
sum(amount) as gmv,
count(distinct id) as trans,
from `project-5400504384186300846.BU_UTILITIES_TELCO.AIRTIME_DETAILS`
where date between '2024-01-01' and '2024-09-30'
and statusid = 2
group by 1,2,3,4)
-- having phone like '089%'
select month, service, 
sum(gmv) as gmv,
count(distinct trans) as trans,
sum(gmv) / count(distinct trans) as aov,
from base
where phone like '089%'
group by 1,2</t>
  </si>
  <si>
    <t>select
  month_active,
  count(distinct user_payment) as user
from `project-5400504384186300846.BU_UTILITIES_TELCO.AIRTIME_DETAILS`
where date &gt; '2024-07-31'
  and statusid = 2
group by 1</t>
  </si>
  <si>
    <t>select distinct partner_type 
from `project-5400504384186300846.BU_UTILITIES_TELCO.AIRTIME_DETAILS`</t>
  </si>
  <si>
    <t>select distinct promotion_type
from `project-5400504384186300846.BU_UTILITIES_TELCO.AIRTIME_DETAILS`</t>
  </si>
  <si>
    <t>select distinct movement_status
from `project-5400504384186300846.BU_UTILITIES_TELCO.AIRTIME_DETAILS`</t>
  </si>
  <si>
    <t>select distinct partner_momo_user
from `project-5400504384186300846.BU_UTILITIES_TELCO.AIRTIME_DETAILS`</t>
  </si>
  <si>
    <t>select distinct promotion_cost_type
from `project-5400504384186300846.BU_UTILITIES_TELCO.AIRTIME_DETAILS`</t>
  </si>
  <si>
    <t>select distinct voucher_type_by_gmv
from `project-5400504384186300846.BU_UTILITIES_TELCO.AIRTIME_DETAILS`</t>
  </si>
  <si>
    <t>select distinct voucher_type_by_trans
from `project-5400504384186300846.BU_UTILITIES_TELCO.AIRTIME_DETAILS`</t>
  </si>
  <si>
    <t>SELECT 
  (SUM(CASE WHEN DATE_TRUNC(`date`, MONTH) = '2024-10-01' THEN `revenue` ELSE 0 END) - 
   SUM(CASE WHEN DATE_TRUNC(`date`, MONTH) = '2023-10-01' THEN `revenue` ELSE 0 END)) / 
   SUM(CASE WHEN DATE_TRUNC(`date`, MONTH) = '2023-10-01' THEN `revenue` ELSE 0 END) 
   * 100 AS growth_rate
FROM 
  `project-5400504384186300846.BU_UTILITIES_TELCO.AIRTIME_DETAILS`</t>
  </si>
  <si>
    <t>SELECT COUNT(DISTINCT id) AS user_count
FROM `project-5400504384186300846.BU_UTILITIES_TELCO.AIRTIME_DETAILS`
WHERE service = 'TOPUP'
  AND DATE_TRUNC(date, MONTH) = '2024-10-01'</t>
  </si>
  <si>
    <t xml:space="preserve">SELECT COUNT(DISTINCT id) AS user_count
FROM `project-5400504384186300846.BU_UTILITIES_TELCO.AIRTIME_DETAILS`
WHERE service = 'TOPUP'
  AND DATE_TRUNC(date, MONTH) = '2024-10-01'
</t>
  </si>
  <si>
    <t>SELECT COUNT(DISTINCT `id`) AS user_count
FROM `project-5400504384186300846.BU_UTILITIES_TELCO.AIRTIME_DETAILS`
WHERE `service` = 'TOPUP'
  AND DATE_TRUNC(`date`, MONTH) = '2024-10-01'</t>
  </si>
  <si>
    <t>SELECT 
  SUM(a.vc_amount) / 10000000 AS promotion_cost_team_in_tens_of_millions
FROM 
  `project-5400504384186300846.BU_UTILITIES_TELCO.AIRTIME_DETAILS` a
WHERE 
  a.promotion_cost_type = 'BU' 
  AND DATE_TRUNC(DATE(a.datetime), MONTH) = DATE_TRUNC(CURRENT_DATE(), MONTH)
  AND a.statusid = 2</t>
  </si>
  <si>
    <t>Tìm thông tin của user nào đó</t>
  </si>
  <si>
    <t>select *
from `project-5400504384186300846.BU_UTILITIES_TELCO.AIRTIME_DETAILS`
where 43041349 = '57530444'</t>
  </si>
  <si>
    <t>select *
from `project-5400504384186300846.BU_UTILITIES_TELCO.AIRTIME_DETAILS`
where user_payment = '43041349'</t>
  </si>
  <si>
    <t>select *
from `project-5400504384186300846.BU_UTILITIES_TELCO.AIRTIME_DETAILS`
where user_payment = '57530444'</t>
  </si>
  <si>
    <t>select *
from `project-5400504384186300846.BU_UTILITIES_TELCO.AIRTIME_DETAILS`
where user_payment = '43041349'
order by datetime desc</t>
  </si>
  <si>
    <t>xem group service</t>
  </si>
  <si>
    <t>select distinct group_service from `project-5400504384186300846.BU_UTILITIES_TELCO.AIRTIME_DETAILS`
  where date &gt;= '2024-08-01'</t>
  </si>
  <si>
    <t>trang.do1@mservice.com.vn</t>
  </si>
  <si>
    <t>DML</t>
  </si>
  <si>
    <t>delete from `project-5400504384186300846.BU_UTILITIES_TELCO.AIRTIME_DETAILS`
where DATE BETWEEN FIRST_DAY AND LAST_DAY</t>
  </si>
  <si>
    <t>tính toán mission gì đó</t>
  </si>
  <si>
    <t>with
  raw as(
    select id, count(distinct mission_id) as num, sum(coin_amount) as sun_coin
    from `project-5400504384186300846.BU_UTILITIES_TELCO.AIRTIME_DETAILS`
    group by 1
    having count(distinct mission_id) &gt; 1
    order by id desc
  )
  select sun_coin/2
  from raw</t>
  </si>
  <si>
    <t>with
  raw as(
    select id, count(distinct mission_id) as num, sum(coin_amount) sum sun_coin
    from `project-5400504384186300846.BU_UTILITIES_TELCO.AIRTIME_DETAILS`
    group by 1
    having count(distinct mission_id) &gt; 1
    order by id desc
  )
  select sun_coin/2
  from raw</t>
  </si>
  <si>
    <t>with
  raw as(
    select id, count(distinct mission_id) as num, sum(coin_amount) sum sun_coin
    from `project-5400504384186300846.BU_UTILITIES_TELCO.AIRTIME_DETAILS`
    group by 1
    having count(distinct mission_id) &gt; 1
    order by id desc
  -- )/
  select sun_coin/2
  from raw</t>
  </si>
  <si>
    <t>with
  raw as(
    select id, count(distinct mission_id) as num, sum(coin_amount) as sun_coin, sum(revenue) as rev
    from `project-5400504384186300846.BU_UTILITIES_TELCO.AIRTIME_DETAILS`
    group by 1
    having count(distinct mission_id) &gt; 1
    order by id desc
  )
  select sum(sun_coin)/2, rev/2
  from raw</t>
  </si>
  <si>
    <t>with
  raw as(
    select id, count(distinct mission_id) as num, sum(coin_amount) as sun_coin, sum(revenue) as rev
    from `project-5400504384186300846.BU_UTILITIES_TELCO.AIRTIME_DETAILS`
    group by 1
    having count(distinct mission_id) &gt; 1
    order by id desc
  )
  select sum(sun_coin)/2, sum(rev)/2
  from raw</t>
  </si>
  <si>
    <t>select *
from `project-5400504384186300846.BU_UTILITIES_TELCO.AIRTIME_DETAILS`
where id = 59602946913</t>
  </si>
  <si>
    <t>select *
from `project-5400504384186300846.BU_UTILITIES_TELCO.AIRTIME_DETAILS`
where id = 65815337391</t>
  </si>
  <si>
    <t>select *
from `project-5400504384186300846.BU_UTILITIES_TELCO.AIRTIME_DETAILS`
where id = 65815387954</t>
  </si>
  <si>
    <t>Tìm giao dịch bị duplicate</t>
  </si>
  <si>
    <t>-- with
  -- raw as(
    select id, count(id) as num
    from `project-5400504384186300846.BU_UTILITIES_TELCO.AIRTIME_DETAILS`
    group by 1
    having count(id) &gt; 1
  -- )</t>
  </si>
  <si>
    <t>-- with
  -- raw as(
    select id, count(id) as num
    from `project-5400504384186300846.BU_UTILITIES_TELCO.AIRTIME_DETAILS`
    group by 1
    having count(id) &gt; 1
    order by id desc
  -- )</t>
  </si>
  <si>
    <t>-- with
  -- raw as(
    select id, count(mission_id) as num
    from `project-5400504384186300846.BU_UTILITIES_TELCO.AIRTIME_DETAILS`
    group by 1
    having count(mission_id) &gt; 1
    order by id desc
  -- )</t>
  </si>
  <si>
    <t>-- with
  -- raw as(
    select id, count(distinct mission_id) as num
    from `project-5400504384186300846.BU_UTILITIES_TELCO.AIRTIME_DETAILS`
    group by 1
    having count(distinct mission_id) &gt; 1
    order by id desc
  -- )</t>
  </si>
  <si>
    <t>SELECT 
  SUM(a.vc_amount) AS promotion_cost_team
FROM 
  `project-5400504384186300846.BU_UTILITIES_TELCO.AIRTIME_DETAILS` a
WHERE 
  a.promotion_cost_type = 'BU' 
  AND DATE_TRUNC(DATE(a.datetime), MONTH) = DATE_TRUNC(CURRENT_DATE(), MONTH)
  AND a.statusid = 2</t>
  </si>
  <si>
    <t xml:space="preserve">WITH monthly_active_users AS (
  SELECT 
    DATE_TRUNC(DATE(a.datetime), MONTH) AS month,
    COUNT(DISTINCT a.user_payment) AS mau
  FROM 
    `project-5400504384186300846.BU_UTILITIES_TELCO.AIRTIME_DETAILS` a
  WHERE 
    a.statusid = 2
  GROUP BY 
    month
),
growth_rate AS (
  SELECT 
    curr.month AS current_month,
    curr.mau AS current_mau,
    prev.mau AS previous_mau,
    (curr.mau - prev.mau) / prev.mau * 100 AS growth_rate
  FROM 
    monthly_active_users curr
  LEFT JOIN 
    monthly_active_users prev
  ON 
    DATE_SUB(curr.month, INTERVAL 1 MONTH) = prev.month
  WHERE 
    curr.month = (SELECT MAX(month) FROM monthly_active_users)
)
SELECT 
  current_mau AS MAU,
  growth_rate AS growth_rate
FROM 
  growth_rate
LIMIT 10
</t>
  </si>
  <si>
    <t xml:space="preserve">SELECT 
  COUNT(DISTINCT a.user_payment) AS MAU
FROM 
  `project-5400504384186300846.BU_UTILITIES_TELCO.AIRTIME_DETAILS` a
WHERE 
  a.statusid = 2 
  AND DATE_TRUNC(DATE(a.datetime), MONTH) = DATE_TRUNC(CURRENT_DATE(), MONTH)
</t>
  </si>
  <si>
    <t>SELECT distinct typeid 
FROM `project-5400504384186300846.BU_UTILITIES_TELCO.AIRTIME_DETAILS`
WHERE date &gt;= "2024-10-01"</t>
  </si>
  <si>
    <t>with base as (
select date_trunc(date, month) as month, 
`project-5400504384186300846.MBI_DA.convert_agent_to_phone`(cast(user_payment as string)) as phone,
service,
user_segment,
sum(amount) as gmv,
count(distinct id) as trans,
from `project-5400504384186300846.BU_UTILITIES_TELCO.AIRTIME_DETAILS`
where date between '2024-01-01' and '2024-09-30'
and statusid = 2
group by 1,2,3,4)
,
retention as (
  select month, phone, service,
  case when date_diff(month, lag_month, month) = 1 then 'retain' else null end as user_type
  from
  (select phone,
  month,
  service,
  lag(month) over(partition by phone, service order by month) as lag_month
  from
  (select distinct month, phone, service from base))
)
select month, service, 
count(distinct phone) as MAU,
count(case when user_type is not null then phone end) as retain_user,
sum(gmv) as gmv,
sum(trans) as trans,
sum(gmv) / sum(trans) as aov,
from base
left join retention using (phone, month, service)
where phone like '089%'
group by 1,2</t>
  </si>
  <si>
    <t>create or replace table `momovn-prod.BU_UTILITIES_TELCO.AIRTIME_ACTIVE_UNDER_3M_IN_LAST_6_MONTH` AS
 SELECT user_payment,
  count(distinct month_active) as num_mont
 from `project-5400504384186300846.BU_UTILITIES_TELCO.AIRTIME_DETAILS`
 where statusid = 2
  and date &gt;= last_6_month
 group by 1
 having count(distinct month_active) &lt; 3</t>
  </si>
  <si>
    <t>duy.pham4@mservice.com.vn</t>
  </si>
  <si>
    <t>SELECT user_payment,
  count(distinct month_active) as num_mont
 from `project-5400504384186300846.BU_UTILITIES_TELCO.AIRTIME_DETAILS`
 where statusid = 2
  and date &gt;= last_6_month
 group by 1
 having count(distinct month_active) &lt; 3</t>
  </si>
  <si>
    <t xml:space="preserve">select
--month_active,
date,
  --cate,
  count(distinct user_payment) as user
from `project-5400504384186300846.BU_UTILITIES_TELCO.AIRTIME_DETAILS`
where statusid = 2
  and month_active = '2023-08-01'
group by 1
</t>
  </si>
  <si>
    <t xml:space="preserve">select
--month_active,
date,
  --cate,
  count(distinct user_payment) as user
from `project-5400504384186300846.BU_UTILITIES_TELCO.AIRTIME_DETAILS`
where statusid = 2
  and month_active = '2024-08-01'
group by 1
</t>
  </si>
  <si>
    <t xml:space="preserve">select
--month_active,
date,
  cate,
  count(distinct user_payment) as user
from `project-5400504384186300846.BU_UTILITIES_TELCO.AIRTIME_DETAILS`
where statusid = 2
  and month_active = '2023-08-01'
group by 1,2
</t>
  </si>
  <si>
    <t>SELECT 
  extract(month from date)
  ,count(distinct user_payment)mau
FROM `project-5400504384186300846.BU_UTILITIES_TELCO.AIRTIME_DETAILS`
WHERE
  statusid = 2
  AND date &gt;= '2024-01-01'
group by 1 
order by 1</t>
  </si>
  <si>
    <t>create or replace table `project-5400504384186300846.BU_UTILITIES_TELCO.AIRTIME_DETAILS`
partition by date
cluster by statusid, service, cate, user_segment
as
select distinct *
from `project-5400504384186300846.BU_UTILITIES_TELCO.AIRTIME_DETAILS`</t>
  </si>
  <si>
    <t xml:space="preserve">  SELECT COUNT(DISTINCT user_payment)user
  FROM `project-5400504384186300846.BU_UTILITIES_TELCO.AIRTIME_DETAILS`
  WHERE
    TRUE
    AND statusid = 2
    AND date &gt;= '2024-09-01'
    AND province_group IN ('Hà Nội', 'KCN Miền Bắc')
    and age &lt; 30</t>
  </si>
  <si>
    <t xml:space="preserve">  SELECT COUNT(DISTINCT user_payment)user
  FROM `project-5400504384186300846.BU_UTILITIES_TELCO.AIRTIME_DETAILS`
  WHERE
    TRUE
    AND statusid = 2
    AND date &gt;= '2024-09-01'</t>
  </si>
  <si>
    <t xml:space="preserve">  SELECT COUNT(DISTINCT user_payment)user
  FROM `project-5400504384186300846.BU_UTILITIES_TELCO.AIRTIME_DETAILS`
  WHERE
    TRUE
    AND statusid = 2
    AND date &gt;= '2024-09-01'
    AND province_group IN ('Hà Nội', 'KCN Miền Bắc')</t>
  </si>
  <si>
    <t xml:space="preserve">select min(date) from `project-5400504384186300846.BU_UTILITIES_TELCO.AIRTIME_DETAILS` 
</t>
  </si>
  <si>
    <t>WITH max_active_airtime AS
(
  select user_payment
    , 'airtime' as cate_l1
    , max(month_active) as max_month_active_l1
    , min(month_active) as min_month_active_l1
  from `project-5400504384186300846.BU_UTILITIES_TELCO.AIRTIME_DETAILS`
  where 1=1
    and date &lt;= '2024-10-31'
    and statusid = 2  
  group by 1,2
) 
select * from max_active_airtime where user_payment = '45923315'</t>
  </si>
  <si>
    <t>select * from `project-5400504384186300846.BU_UTILITIES_TELCO.AIRTIME_DETAILS` 
where date between '2024-09-01' and '2024-10-06'
and user_payment = '62212900'
order by date</t>
  </si>
  <si>
    <t>select * from `project-5400504384186300846.BU_UTILITIES_TELCO.AIRTIME_DETAILS` 
where 1=1 -- date between '2024-09-01' and '2024-10-06'
and user_payment = '9964160'
order by date</t>
  </si>
  <si>
    <t>select * from `project-5400504384186300846.BU_UTILITIES_TELCO.AIRTIME_DETAILS` 
where 1=1 -- date between '2024-09-01' and '2024-10-06'
and user_payment = '9998745'
order by date</t>
  </si>
  <si>
    <t>select * from `project-5400504384186300846.BU_UTILITIES_TELCO.AIRTIME_DETAILS` 
where 1=1 -- date between '2024-09-01' and '2024-10-06'
and user_payment = '36731389'
order by date</t>
  </si>
  <si>
    <t>select * from `project-5400504384186300846.BU_UTILITIES_TELCO.AIRTIME_DETAILS` 
where 1=1 -- date between '2024-09-01' and '2024-10-06'
and user_payment = '36844688'
order by date</t>
  </si>
  <si>
    <t>select * from `project-5400504384186300846.BU_UTILITIES_TELCO.AIRTIME_DETAILS` 
where 1=1 -- date between '2024-09-01' and '2024-10-06'
and user_payment = '45923315'
order by date</t>
  </si>
  <si>
    <t>select * from `project-5400504384186300846.BU_UTILITIES_TELCO.AIRTIME_DETAILS` 
where 1=1 -- date between '2024-09-01' and '2024-10-06'
and user_payment = '62212900'
order by date</t>
  </si>
  <si>
    <t xml:space="preserve">select * from `project-5400504384186300846.BU_UTILITIES_TELCO.AIRTIME_DETAILS` 
where 1=1 -- date between '2024-09-01' and '2024-10-06'
and user_payment = '36731389'
order by date
</t>
  </si>
  <si>
    <t>select user_segment
  , count(distinct user_payment)
  from `project-5400504384186300846.BU_UTILITIES_TELCO.AIRTIME_DETAILS`
  where 1=1
    and date between '2024-10-01' and '2024-10-06'
    and statusid = 2  
  group by 1</t>
  </si>
  <si>
    <t xml:space="preserve">    select distinct user_payment
      , 'airtime' as cate
      , month_active
      , user_segment
      , max(voucher_or_not) as voucher_or_not
    from `project-5400504384186300846.BU_UTILITIES_TELCO.AIRTIME_DETAILS`
    where 1=1
      and month_active &gt;= date_sub(date_trunc(CURRENT_DATE('+7'), month), interval 1 month)
    group by 1,2,3,4</t>
  </si>
  <si>
    <t>select *
  from `project-5400504384186300846.BU_UTILITIES_TELCO.AIRTIME_DETAILS`
  where 1=1
    and date between '2024-03-01' and '2024-04-30'
    and user_payment = '42421569'  
  order by date</t>
  </si>
  <si>
    <t xml:space="preserve">with
  raw as(
    select
      month_active,
      user_payment,
      sum(case when promotion_cost_type = 'BU' then vc_amount end) as promotion_cost,
      count(distinct voucher_or_not) as type_promotion
    from `project-5400504384186300846.BU_UTILITIES_TELCO.AIRTIME_DETAILS`
    where statusid = 2
    group by 1,2
  )
select
  month_active,
  count(distinct case when type_promotion = 1 and ifnull(promotion_cost, 0) = 0 then user_payment end) as only_organic_user,
  count(distinct case when type_promotion = 1 and ifnull(promotion_cost, 0) &gt; 0 then user_payment end) as only_promotion_user,
  count(distinct case when type_promotion &gt; 1 then user_payment end) as overlap_user,
  sum(ifnull(promotion_cost, 0)) as promotion_cost 
from raw
group by 1
</t>
  </si>
  <si>
    <t xml:space="preserve">with
  raw as(
    select
      month_active,
      user_payment,
      sum(case when promotion_cost_type = 'BU' then vc_amount end) as promotion_cost,
      count(distinct voucher_or_not) as type_promotion
    from `project-5400504384186300846.BU_UTILITIES_TELCO.AIRTIME_DETAILS`
    where statusid = 2
    group by 1,2,3
  )
select
  month_active,
  count(distinct case when type_promotion = 1 and ifnull(promotion_cost, 0) = 0 then user_payment end) as only_organic_user,
  count(distinct case when type_promotion = 1 and ifnull(promotion_cost, 0) &gt; 0 then user_payment end) as only_promotion_user,
  count(distinct case when type_promotion &gt; 1 then user_payment end) as overlap_user,
  sum(ifnull(promotion_cost, 0)) as promotion_cost 
from raw
group by 1
</t>
  </si>
  <si>
    <t xml:space="preserve">with
  raw as(
    select
      month_active,
      user_payment,
      promotion_cost_type,
      sum(vc_amount) as promotion_cost,
      count(distinct voucher_or_not) as type_promotion
    from `project-5400504384186300846.BU_UTILITIES_TELCO.AIRTIME_DETAILS`
    where statusid = 2
    group by 1,2,3
  )
select
  month_active,
  count(distinct case when type_promotion = 1 and ifnull(promotion_cost, 0) = 0 then user_payment end) as only_organic_user,
  count(distinct case when type_promotion = 1 and ifnull(promotion_cost, 0) &gt; 0 then user_payment end) as only_promotion_user,
  count(distinct case when type_promotion &gt; 1 then user_payment end) as overlap_user,
  sum(case when promotion_cost_type = 'BU' then ifnull(promotion_cost, 0) end) as promotion_cost 
from raw
group by 1
</t>
  </si>
  <si>
    <t xml:space="preserve">with
  raw as(
    select
      month_active,
      user_payment,
      sum(case when promotion_cost_type = 'BU' then vc_amount end) as promotion_cost,
      count(distinct case when ifnull(vc_amount, 0) &gt; 0 then id end ) as type_promotion
    from `project-5400504384186300846.BU_UTILITIES_TELCO.AIRTIME_DETAILS`
    where statusid = 2
      and date &gt; '2023-12-31'
    group by 1,2
  )
select
  month_active,
  count(distinct case when type_promotion = 1 and ifnull(promotion_cost, 0) = 0 then user_payment end) as only_organic_user,
  count(distinct case when type_promotion = 1 and ifnull(promotion_cost, 0) &gt; 0 then user_payment end) as only_promotion_user,
  count(distinct case when type_promotion &gt; 1 then user_payment end) as overlap_user,
  sum(ifnull(promotion_cost, 0)) as promotion_cost 
from raw
group by 1
</t>
  </si>
  <si>
    <t xml:space="preserve">with
  raw as(
    select
      month_active,
      user_payment,
      sum(case when promotion_cost_type = 'BU' then vc_amount end) as promotion_cost,
      count(distinct case when ifnull(vc_amount, 0) &gt; 0 and promotion_cost_type = 'BU' then id end ) as type_promotion
    from `project-5400504384186300846.BU_UTILITIES_TELCO.AIRTIME_DETAILS`
    where statusid = 2
      and date &gt; '2023-12-31'
    group by 1,2
  )
select
  month_active,
  count(distinct case when type_promotion = 1 and ifnull(promotion_cost, 0) = 0 then user_payment end) as only_organic_user,
  count(distinct case when type_promotion = 1 and ifnull(promotion_cost, 0) &gt; 0 then user_payment end) as only_promotion_user,
  count(distinct case when type_promotion &gt; 1 then user_payment end) as overlap_user,
  sum(ifnull(promotion_cost, 0)) as promotion_cost 
from raw
group by 1
</t>
  </si>
  <si>
    <t>SELECT count(distinct id)
from `project-5400504384186300846.BU_UTILITIES_TELCO.AIRTIME_DETAILS`
where 
  GROUP_SERVICE = 'Topup&amp;Mathe'
  and date between '2024-08-01' and '2024-08-31'
  and statusid = 2
  --12768587</t>
  </si>
  <si>
    <t xml:space="preserve">with
  raw as(
    select
      month_active,
      user_payment,
      promotion_cost_type,
      sum(vc_amount) as promotion_cost,
      count(distinct voucher_or_not) as type_promotion
    from `project-5400504384186300846.BU_UTILITIES_TELCO.AIRTIME_DETAILS`
    where statusid = 2
    group by 1,2,3
  )
select
  month_active,
  count(distinct case when type_promotion = 1 and ifnull(promotion_cost, 0) = 0 then user_payment end) as only_organic_user,
  count(distinct case when type_promotion = 1 and ifnull(promotion_cost, 0) &gt; 0 then user_payment end) as only_promotion_user,
  count(distinct case when type_promotion &gt; 1 then user_payment end) as overlap_user,
  sum(promotion_cost) as promotion_cost 
from raw
group by 1
</t>
  </si>
  <si>
    <t xml:space="preserve">with
  raw as(
    select
      month_active,
      user_payment,
      promotion_cost_type,
      sum(vc_amount) as promotion_cost,
      count(distinct voucher_or_not) as type_promotion
    from `project-5400504384186300846.BU_UTILITIES_TELCO.AIRTIME_DETAILS`
    where statusid = 2
    group by 1,2,3
  )
select
  month_active,
  count(distinct case when type_promotion = 1 and ifnull(promotion_coset, 0) = 0 then user_payment end) as only_organic_user,
  count(distinct case when type_promotion = 1 and ifnull(promotion_coset, 0) &gt; 0 then user_payment end) as only_promotion_user,
  count(distinct case when type_promotion &gt; 1 then user_payment end) as overlap_user,
  sum(promotion_cost) as promotion_cost 
from raw
group by 1
</t>
  </si>
  <si>
    <t xml:space="preserve">with
  raw as(
    select
      month_active,
      user_payment,
      promotion_cost_type,
      sum(vc_amount) as promotion_cost,
      count(distinct voucher_or_not) as type_promotion
    from `project-5400504384186300846.BU_UTILITIES_TELCO.AIRTIME_DETAILS`
    where statusid = 2
    group by 1,2,3,4
  )
select
  month_active,
  count(distinct case when type_promotion = 1 and ifnull(promotion_coset, 0) = 0 then user_payment end) as only_organic_user,
  count(distinct case when type_promotion = 1 and ifnull(promotion_coset, 0) &gt; 0 then user_payment end) as only_promotion_user,
  count(distinct case when type_promotion &gt; 1 then user_payment end) as overlap_user,
  sum(promotion_cost) as promotion_cost 
from raw
group by 1
</t>
  </si>
  <si>
    <t xml:space="preserve">select
month_active,
  cate,
  count(distinct user_payment) as user
from `project-5400504384186300846.BU_UTILITIES_TELCO.AIRTIME_DETAILS`
where statusid = 2
  and month_active &gt;= '2023-01-01'
group by 1,2
</t>
  </si>
  <si>
    <t>with
  raw as(
    select
      id,
      count(id) as num,
      min(date) as min_date
    from `project-5400504384186300846.BU_UTILITIES_TELCO.AIRTIME_DETAILS`
    group by 1
  )
select distinct
  -- min_date,
  count(distinct id) as trans,
from raw
where num &gt; 1
-- group by 1
-- order by 2 desc</t>
  </si>
  <si>
    <t>with
  raw as(
    select
      id,
      count(id) as num,
      min(date) as min_date
    from `project-5400504384186300846.BU_UTILITIES_TELCO.AIRTIME_DETAILS`
    group by 1
  )
select distinct
  min_date,
  -- id
  count(distinct id) as trans,
from raw
where num &gt; 1
group by 1
order by 1 desc</t>
  </si>
  <si>
    <t>with
  raw as(
    select
      id,
      count(id) as num,
      min(date) as min_date
    from `project-5400504384186300846.BU_UTILITIES_TELCO.AIRTIME_DETAILS`
    group by 1
  )
select distinct
  min_date,
  count(distinct id) as trans,
from raw
where num &gt; 1
group by 1
order by 1 desc</t>
  </si>
  <si>
    <t>with
  raw as(
    select
      id,
      count(id) as num,
      min(date) as min_date
    from `project-5400504384186300846.BU_UTILITIES_TELCO.AIRTIME_DETAILS`
    group by 1
  )
select distinct
  min_date,
  id
  -- count(distinct id) as trans,
from raw
where num &gt; 1
-- group by 1
order by 1 desc</t>
  </si>
  <si>
    <t xml:space="preserve">select 
	count(id) as row_num,
	count(distinct id) row_distinct_num 
from project-5400504384186300846.BU_UTILITIES_TELCO.AIRTIME_DETAILS LIMIT 100; </t>
  </si>
  <si>
    <t>select
  *
from `project-5400504384186300846.BU_UTILITIES_TELCO.AIRTIME_DETAILS`
where 1=1
  -- and month_active &gt; '2023-09-30'
  and id = 12590974481
  and date = '2021-06-04'
-- group by 1,2,3</t>
  </si>
  <si>
    <t>select
  *
from `project-5400504384186300846.BU_UTILITIES_TELCO.AIRTIME_DETAILS`
where 1=1
  -- and month_active &gt; '2023-09-30'
  and id = 16326213049
  and date = '2021-09-07'
-- group by 1,2,3</t>
  </si>
  <si>
    <t>with
  raw as(
    select
      id, count(id) as num,
      min(date) as min_date
    from `project-5400504384186300846.BU_UTILITIES_TELCO.AIRTIME_DETAILS`
    group by 1
  )
select
  min_date,
  id
from raw
order by 1 asc</t>
  </si>
  <si>
    <t>with
  raw as(
    select
      id, count(id) as num,
      min(date) as min_date
    from `project-5400504384186300846.BU_UTILITIES_TELCO.AIRTIME_DETAILS`
    group by 1
  )
select
  min_date,
  id
from raw
where num &gt; 1
order by 1 asc</t>
  </si>
  <si>
    <t>create or replace table `momovn-prod.BU_UTILITIES_TELCO.AIRTIME_DETAILS_VIEW_3_MONTH`
partition by date
cluster by statusid, cate, user_segment, voucher_or_not
as
select * except(revenue), revenue/1.1 as revenue,
case
  when serviceid in ('EPAY_VIETTEL', 'topup_Viettel') then 'Viettel'
  when serviceid in ('topup_Vinaphone', 'EPAY_VINAFONE') then 'Vinaphone'
  when serviceid = 'topup_Itel' then 'iTel'
  when serviceid in ('EPAY_VIETNAMOBILE', 'topup_Vietnamobile') then 'Vietnamobile'
  when serviceid = 'topup_Local' then 'Local'
  when serviceid in ('buycard_Reddi', 'topup_Reddi') then 'Wintel'
  when serviceid = 'topup_Saymee' then 'Saymee'
  when serviceid in ('topup_Mobifone', 'EPAY_MOBIFONE') then 'Mobifone'
  else 'OUTAPP PAYMENT'
end as mvno
from `project-5400504384186300846.BU_UTILITIES_TELCO.AIRTIME_DETAILS`
where date between date_sub(date_trunc(current_date("+7"), month), interval 2 month) and current_date("+7")</t>
  </si>
  <si>
    <t>WITH max_active_airtime AS
(
  select user_payment
    , 'airtime' as cate_l1
    , max(month_active) as max_month_active_l1
    , min(month_active) as min_month_active_l1
  from `project-5400504384186300846.BU_UTILITIES_TELCO.AIRTIME_DETAILS`
  where 1=1
    and date &lt;= end_date
    and statusid = 2  
  group by 1,2
) 
select * from max_active_airtime where user_payment = '45923315'</t>
  </si>
  <si>
    <t>INSERT INTO `momovn-mimir.MIMIR.DLS_ALL_TRANS_V3_1`
SELECT `DATE`, USER_ID, TRANS_TYPE, ALL_IN_ONE, MONEY_SOURCE, PARTNER_CODE, SERVICE_CODE, BU_GROUP_CODE_L1, GROUP_CODE_L1, CATE, MERCHANT, SUB_MERCHANT, GMV, TOTAL_REV, NET_REV, PROMO_AMOUNT, GENDER, AGE, AGE_GROUP, CITY, REGION, IS_KYC, IS_FACE_MATCHING, CHEATING, QD2345_CHECK, ORDER_ID, REQ_TYPE
FROM `momovn-prod.BU_ECOM.DLS_ALL_TRANS_V3_1`
WHERE DATE &gt;= DATE_SUB(CURRENT_DATE(), INTERVAL 7 DAY)</t>
  </si>
  <si>
    <t>doan.tien@mservice.com.vn</t>
  </si>
  <si>
    <t xml:space="preserve">  select 
    date, 
    user_id, 
    gmv, 
    order_id,
    row_number() over(partition by user_id order by datetime) as rn_user
  from `momovn-prod.BU_ECOM.DLS_ALL_TRANS_V3_1`
  where (merchant = 'GRAB-ENDUSER') and 
  (date between '2024-10-01' and '2024-11-01')
  qualify rn_user = 1</t>
  </si>
  <si>
    <t>duc.le6@mservice.com.vn</t>
  </si>
  <si>
    <t>with grab_first_use as(
  select 
    date, 
    user_id, 
    gmv, 
    order_id,
    row_number() over(partition by user_id order by datetime) as rn_user
  from `momovn-prod.BU_ECOM.DLS_ALL_TRANS_V3_1`
  where (merchant = 'GRAB-ENDUSER') and 
  (date between '2023-10-01' and '2023-11-01')
  qualify rn_user = 1
)
  select
  g.user_id,
  m.date,
  m.gmv,
  m.order_id 
  from `momovn-prod.BU_ECOM.DLS_ALL_TRANS_V3_1` m join grab_first_use g on m.user_id = g.user_id
  where m.date &lt;= date_sub(g.date, interval 30 day)
    and m.CATE = 'LOGISTICS'</t>
  </si>
  <si>
    <t>with grab_first_use as(
  select 
    date, 
    user_id, 
    gmv, 
    order_id,
    row_number() over(partition by user_id order by datetime) as rn_user
  from `momovn-prod.BU_ECOM.DLS_ALL_TRANS_V3_1`
  where (merchant = 'GRAB-ENDUSER') and 
  (date between '2024-10-01' and '2024-11-01')
  qualify rn_user = 1
)
  select
  g.user_id,
  m.date,
  m.gmv,
  m.order_id 
  from `momovn-prod.BU_ECOM.DLS_ALL_TRANS_V3_1` m join grab_first_use g on m.user_id = g.user_id
  where m.date &lt;= date_sub(g.date, interval 30 day)
    and m.CATE = 'LOGISTICS'</t>
  </si>
  <si>
    <t xml:space="preserve">SELECT
  DISTINCT CATE
FROM `momovn-prod.BU_ECOM.DLS_ALL_TRANS_V3_1`
</t>
  </si>
  <si>
    <t>with grab_first_user as(
  select 
    date as first_date, 
    user_id, 
    gmv, 
    order_id,
    row_number() over(partition by user_id order by datetime) rn_user
  from `momovn-prod.BU_ECOM.DLS_ALL_TRANS_V3_1`
  where (merchant = 'GRAB-ENDUSER') and 
  (date between '2023-10-01' and '2023-11-01')
  qualify rn_user = 1
), 
logistic_all_trans as (
  select distinct
    date as trx_date,
    user_id,
    order_id,
    gmv
  from `momovn-prod.BU_ECOM.DLS_ALL_TRANS_V3_1`
  where cate = 'LOGISTICS'
    --and date &gt;= '2023-08-01' and date &lt;= '2023-12-31'
),
join_two_table as (
  select distinct
    t1.user_id,
    t1.first_date,
    t2.trx_date,
    t2.order_id,
    t2.gmv
  from grab_first_user t1
  left join logistic_all_trans t2 
    on t1.user_id = t2.user_id
)
select 
  sum(case when date_sub (first_date, interval 30 day) &lt;= trx_date and trx_date &lt;= first_date then gmv end) as before_gmv_30d,
  sum(case when date_add (first_date, interval 30 day) &gt;= trx_date and trx_date &gt;= first_date then gmv end) as after_gmv_30d,
  count(distinct case when date_sub (first_date, interval 30 day) &lt;= trx_date and trx_date &lt;= first_date then order_id end) as before_trx_30d,
  count(distinct case when date_add (first_date, interval 30 day) &gt;= trx_date and trx_date &gt;= first_date then order_id end) as after_trx_30d
from join_two_table
-- trans_before_30d as(
--   select
--   g.user_id,
--   m.date,
--   m.gmv,
--   m.order_id 
--   from `momovn-prod.BU_ECOM.DLS_ALL_TRANS_V3_1` m join grab_first_use g on m.user_id = g.user_id
--   where m.date between date_sub(g.date, interval 30 day) and g.date
--     and m.CATE = 'LOGISTICS'
-- ),
-- trans_after_30d as(
--   select
--   g.user_id,
--   m.date,
--   m.gmv,
--   m.order_id 
--   from `momovn-prod.BU_ECOM.DLS_ALL_TRANS_V3_1` m join grab_first_use g on m.user_id = g.user_id
--   where m.date between g.date and date_add(g.date, interval 30 day) 
--   and m.CATE = 'LOGISTICS'
-- )
-- -- ,summary_table as (
-- select 
-- gf.user_id, 
-- gf.date as first_date, 
-- tb.date as before_30d, 
-- ta.date as after_30d,
-- tb.GMV as GMV_before_30d, 
-- ta.GMV as GMV_after_30d,
-- tb.order_id as Trans_before_30d,
-- ta.order_id as Trans_after_30d
-- from grab_first_use gf join trans_before_30d tb on gf.user_id = tb.user_id
--                       join trans_after_30d ta on gf.user_id = ta.user_id</t>
  </si>
  <si>
    <t>ngan.nguyen14@mservice.com.vn</t>
  </si>
  <si>
    <t xml:space="preserve">SELECT
  DISTINCT CATE  
FROM `momovn-prod.BU_ECOM.DLS_ALL_TRANS_V3_1`
</t>
  </si>
  <si>
    <t>with grab_first_use as(
  select 
    date, 
    user_id, 
    gmv, 
    order_id,
    row_number() over(partition by user_id order by datetime) as rn_user
  from `momovn-prod.BU_ECOM.DLS_ALL_TRANS_V3_1`
  where (merchant = 'GRAB-ENDUSER') and 
  (date between '2024-10-01' and '2024-11-01')
  qualify rn_user = 1
), 
trans_before_30d as(
  select
  g.user_id,
  m.date,
  m.gmv,
  m.order_id 
  from `momovn-prod.BU_ECOM.DLS_ALL_TRANS_V3_1` m join grab_first_use g on m.user_id = g.user_id
  where m.date &lt;= date_sub(g.date, interval 30 day)
),
trans_after_30d as(
  select
  g.user_id,
  m.date,
  m.gmv,
  m.order_id 
  from `momovn-prod.BU_ECOM.DLS_ALL_TRANS_V3_1` m join grab_first_use g on m.user_id = g.user_id
  where m.date &gt;= date_add(g.date, interval 30 day)
)
select 
gf.user_id, 
gf.date as first_date, 
tb.date as before_30d, 
ta.date as after_30d
-- tb.GMV as GMV_before_30d, 
-- ta.GMV as GMV_after_30d
from grab_first_use gf join trans_before_30d tb on gf.user_id = tb.user_id
                      join trans_after_30d ta on gf.user_id = ta.user_id</t>
  </si>
  <si>
    <t xml:space="preserve">SELECT
  DISTINCT CATE, MERCHANT
FROM `momovn-prod.BU_ECOM.DLS_ALL_TRANS_V3_1`
</t>
  </si>
  <si>
    <t>with grab_first_user as(
  select 
    date as first_date, 
    user_id, 
    gmv, 
    order_id,
    row_number() over(partition by user_id order by datetime) rn_user
  from `momovn-prod.BU_ECOM.DLS_ALL_TRANS_V3_1`
  where (merchant = 'GRAB-ENDUSER') and 
  (date between '2023-10-01' and '2023-11-01')
  qualify rn_user = 1
), 
logistic_all_trans as (
  select distinct
    date as trx_date,
    user_id,
    order_id,
    gmv
  from `momovn-prod.BU_ECOM.DLS_ALL_TRANS_V3_1`
  where cate = 'LOGISTICS'
    --and date &gt;= '2023-08-01' and date &lt;= '2023-12-31'
),
join_two_table as (
  select distinct
    t1.user_id,
    t1.first_date,
    t2.trx_date,
    t2.order_id,
    t2.gmv
  from grab_first_user t1
  left join logistic_all_trans t2 
    on t1.user_id = t2.user_id
)
select 
  sum(case when date_sub (first_date, interval 30 day) &lt;= trx_date and trx_date &lt;= first_date then gmv end) as before_gmv_30d,
  sum(case when date_add (first_date, interval 30 day) &gt;= trx_date and trx_date &gt;= first_date then gmv end) as after_gmv_30d,
  count(distinct case when date_sub (first_date, interval 30 day) &lt;= trx_date and trx_date &lt;= first_date then order_id end) as before_trx_30d,
  count(distinct case when date_add (first_date, interval 30 day) &gt;= trx_date and trx_date &gt;= first_date then order_id end) as after_trx_30d
from join_two_table
group by 1,2
-- trans_before_30d as(
--   select
--   g.user_id,
--   m.date,
--   m.gmv,
--   m.order_id 
--   from `momovn-prod.BU_ECOM.DLS_ALL_TRANS_V3_1` m join grab_first_use g on m.user_id = g.user_id
--   where m.date between date_sub(g.date, interval 30 day) and g.date
--     and m.CATE = 'LOGISTICS'
-- ),
-- trans_after_30d as(
--   select
--   g.user_id,
--   m.date,
--   m.gmv,
--   m.order_id 
--   from `momovn-prod.BU_ECOM.DLS_ALL_TRANS_V3_1` m join grab_first_use g on m.user_id = g.user_id
--   where m.date between g.date and date_add(g.date, interval 30 day) 
--   and m.CATE = 'LOGISTICS'
-- )
-- -- ,summary_table as (
-- select 
-- gf.user_id, 
-- gf.date as first_date, 
-- tb.date as before_30d, 
-- ta.date as after_30d,
-- tb.GMV as GMV_before_30d, 
-- ta.GMV as GMV_after_30d,
-- tb.order_id as Trans_before_30d,
-- ta.order_id as Trans_after_30d
-- from grab_first_use gf join trans_before_30d tb on gf.user_id = tb.user_id
--                       join trans_after_30d ta on gf.user_id = ta.user_id</t>
  </si>
  <si>
    <t xml:space="preserve">SELECT
  DISTINCT MERCHANT
FROM `momovn-prod.BU_ECOM.DLS_ALL_TRANS_V3_1`
WHERE CATE = 'LOGISTICS'
</t>
  </si>
  <si>
    <t>SELECT 
  *
FROM `momovn-prod.BU_ECOM.DLS_ALL_TRANS_V3_1`
WHERE USER_ID = 56466652
AND date &gt;= '2024-09-01'</t>
  </si>
  <si>
    <t>with grab_first_user as(
  select 
    date as first_date, 
    user_id, 
    gmv, 
    order_id,
    row_number() over(partition by user_id order by datetime) rn_user
  from `momovn-prod.BU_ECOM.DLS_ALL_TRANS_V3_1`
  where (merchant = 'GRAB-ENDUSER') and 
  (date between '2023-10-01' and '2023-11-01')
  qualify rn_user = 1
), 
logistic_all_trans as (
  select distinct
    date as trx_date,
    user_id,
    order_id,
    gmv
  from `momovn-prod.BU_ECOM.DLS_ALL_TRANS_V3_1`
  where cate = 'LOGISTICS'
    --and date &gt;= '2023-08-01' and date &lt;= '2023-12-31'
),
join_two_table as (
  select distinct
    t1.user_id,
    t1.first_date,
    t2.trx_date,
    t2.order_id,
    t2.gmv
  from grab_first_user t1
  left join logistic_all_trans t2 
    on t1.user_id = t2.user_id
)
select 
  user_id,
  first_date,
  sum(case when date_sub (first_date, interval 30 day) &lt;= trx_date and trx_date &lt;= first_date then gmv end) as before_gmv_30d,
  sum(case when date_add (first_date, interval 30 day) &gt;= trx_date and trx_date &gt;= first_date then gmv end) as after_gmv_30d,
  count(distinct case when date_sub (first_date, interval 30 day) &lt;= trx_date and trx_date &lt;= first_date then order_id end) as before_trx_30d,
  count(distinct case when date_add (first_date, interval 30 day) &gt;= trx_date and trx_date &gt;= first_date then order_id end) as after_trx_30d
from join_two_table
group by 1,2
-- trans_before_30d as(
--   select
--   g.user_id,
--   m.date,
--   m.gmv,
--   m.order_id 
--   from `momovn-prod.BU_ECOM.DLS_ALL_TRANS_V3_1` m join grab_first_use g on m.user_id = g.user_id
--   where m.date between date_sub(g.date, interval 30 day) and g.date
--     and m.CATE = 'LOGISTICS'
-- ),
-- trans_after_30d as(
--   select
--   g.user_id,
--   m.date,
--   m.gmv,
--   m.order_id 
--   from `momovn-prod.BU_ECOM.DLS_ALL_TRANS_V3_1` m join grab_first_use g on m.user_id = g.user_id
--   where m.date between g.date and date_add(g.date, interval 30 day) 
--   and m.CATE = 'LOGISTICS'
-- )
-- -- ,summary_table as (
-- select 
-- gf.user_id, 
-- gf.date as first_date, 
-- tb.date as before_30d, 
-- ta.date as after_30d,
-- tb.GMV as GMV_before_30d, 
-- ta.GMV as GMV_after_30d,
-- tb.order_id as Trans_before_30d,
-- ta.order_id as Trans_after_30d
-- from grab_first_use gf join trans_before_30d tb on gf.user_id = tb.user_id
--                       join trans_after_30d ta on gf.user_id = ta.user_id</t>
  </si>
  <si>
    <t>with grab_first_user as(
  select 
    date as first_date, 
    user_id, 
    gmv, 
    order_id,
    row_number() over(partition by user_id order by datetime) rn_user
  from `momovn-prod.BU_ECOM.DLS_ALL_TRANS_V3_1`
  where (merchant = 'GRAB-ENDUSER') and 
  (date between '2023-10-01' and '2023-11-01')
  qualify rn_user = 1
), 
logistic_all_trans as (
  select distinct
    date as trx_date,
    user_id,
    order_id,
    gmv
  from `momovn-prod.BU_ECOM.DLS_ALL_TRANS_V3_1`
  where cate = 'LOGISTICS'
    --and date &gt;= '2023-08-01' and date &lt;= '2023-12-31'
),
join_two_table as (
  select distinct
    t1.user_id,
    t1.first_date,
    t2.trx_date,
    t2.order_id,
    t2.gmv
  from grab_first_user t1
  left join logistic_all_trans t2 
    on t1.user_id = t2.user_id
)
select 
  user_id,
  first_date,
  sum(case when date_sub (first_date, interval 30 day) &lt;= trx_date and trx_date &lt;= first_date then gmv end) as before_gmv_30d,
  sum(case when date_add (first_date, interval 30 day) &gt;= trx_date and trx_date &gt;= first_date then gmv end) as after_gmv_30d,
  count(distinct case when date_sub (first_date, interval 30 day) &lt;= trx_date and trx_date &lt;= first_date then order_id end) as before_trx_30d,
  count(distinct case when date_add (first_date, interval 30 day) &gt;= trx_date and trx_date &gt;= first_date then order_id end) as after_trx_30d
from join_two_table
group by 1,2
order by user_id
-- trans_before_30d as(
--   select
--   g.user_id,
--   m.date,
--   m.gmv,
--   m.order_id 
--   from `momovn-prod.BU_ECOM.DLS_ALL_TRANS_V3_1` m join grab_first_use g on m.user_id = g.user_id
--   where m.date between date_sub(g.date, interval 30 day) and g.date
--     and m.CATE = 'LOGISTICS'
-- ),
-- trans_after_30d as(
--   select
--   g.user_id,
--   m.date,
--   m.gmv,
--   m.order_id 
--   from `momovn-prod.BU_ECOM.DLS_ALL_TRANS_V3_1` m join grab_first_use g on m.user_id = g.user_id
--   where m.date between g.date and date_add(g.date, interval 30 day) 
--   and m.CATE = 'LOGISTICS'
-- )
-- -- ,summary_table as (
-- select 
-- gf.user_id, 
-- gf.date as first_date, 
-- tb.date as before_30d, 
-- ta.date as after_30d,
-- tb.GMV as GMV_before_30d, 
-- ta.GMV as GMV_after_30d,
-- tb.order_id as Trans_before_30d,
-- ta.order_id as Trans_after_30d
-- from grab_first_use gf join trans_before_30d tb on gf.user_id = tb.user_id
--                       join trans_after_30d ta on gf.user_id = ta.user_id</t>
  </si>
  <si>
    <t>with grab_first_use as(
  select 
    date, 
    user_id, 
    gmv, 
    order_id,
    row_number() over(partition by user_id order by datetime) as rn_user
  from `momovn-prod.BU_ECOM.DLS_ALL_TRANS_V3_1`
  where (merchant = 'GRAB-ENDUSER') and 
  (date between '2023-10-01' and '2023-11-01')
  qualify rn_user = 1
), 
trans_before_30d as(
  select
  g.user_id,
  m.date,
  m.gmv,
  m.order_id 
  from `momovn-prod.BU_ECOM.DLS_ALL_TRANS_V3_1` m join grab_first_use g on m.user_id = g.user_id
  where m.date &lt;= date_sub(g.date, interval 30 day)
    and m.CATE = 'LOGISTICS'
),
trans_after_30d as(
  select
  g.user_id,
  m.date,
  m.gmv,
  m.order_id 
  from `momovn-prod.BU_ECOM.DLS_ALL_TRANS_V3_1` m join grab_first_use g on m.user_id = g.user_id
  where m.date &gt;= date_add(g.date, interval 30 day)
  and m.CATE = 'LOGISTICS'
)
select 
gf.user_id, 
gf.date as first_date, 
tb.date as before_30d, 
ta.date as after_30d
-- tb.GMV as GMV_before_30d, 
-- ta.GMV as GMV_after_30d
from grab_first_use gf join trans_before_30d tb on gf.user_id = tb.user_id
                      join trans_after_30d ta on gf.user_id = ta.user_id</t>
  </si>
  <si>
    <t>with grab_first_use as(
  select 
    date, 
    user_id, 
    gmv, 
    order_id,
    row_number() over(partition by user_id order by datetime) as rn_user
  from `momovn-prod.BU_ECOM.DLS_ALL_TRANS_V3_1`
  where (merchant = 'GRAB-ENDUSER') and 
  (date between '2024-10-01' and '2024-11-01')
  qualify rn_user = 1
), 
trans_before_30d as(
  select
  g.user_id,
  m.date,
  m.gmv,
  m.order_id 
  from `momovn-prod.BU_ECOM.DLS_ALL_TRANS_V3_1` m join grab_first_use g on m.user_id = g.user_id
  where m.date &lt;= date_sub(g.date, interval 30 day)
    and m.CATE = 'LOGISTICS'
),
trans_after_30d as(
  select
  g.user_id,
  m.date,
  m.gmv,
  m.order_id 
  from `momovn-prod.BU_ECOM.DLS_ALL_TRANS_V3_1` m join grab_first_use g on m.user_id = g.user_id
  where m.date &gt;= date_add(g.date, interval 30 day)
  and m.CATE = 'LOGISTICS'
)
select 
gf.user_id, 
gf.date as first_date, 
tb.date as before_30d, 
ta.date as after_30d
-- tb.GMV as GMV_before_30d, 
-- ta.GMV as GMV_after_30d
from grab_first_use gf join trans_before_30d tb on gf.user_id = tb.user_id
                      join trans_after_30d ta on gf.user_id = ta.user_id</t>
  </si>
  <si>
    <t>with grab_first_use as(
  select 
    date, 
    user_id, 
    gmv, 
    order_id,
    row_number() over(partition by user_id order by datetime) as rn_user
  from `momovn-prod.BU_ECOM.DLS_ALL_TRANS_V3_1`
  where (merchant = 'GRAB-ENDUSER') and 
  (date between '2023-10-01' and '2023-11-01')
  qualify rn_user = 1
), 
trans_before_30d as(
  select
  g.user_id,
  m.date,
  m.gmv,
  m.order_id 
  from `momovn-prod.BU_ECOM.DLS_ALL_TRANS_V3_1` m join grab_first_use g on m.user_id = g.user_id
  where m.date &lt;= date_sub(g.date, interval 30 day)
    and m.CATE = 'LOGISTICS'
),
trans_after_30d as(
  select
  g.user_id,
  m.date,
  m.gmv,
  m.order_id 
  from `momovn-prod.BU_ECOM.DLS_ALL_TRANS_V3_1` m join grab_first_use g on m.user_id = g.user_id
  where m.date &gt;= date_add(g.date, interval 30 day)
  and m.CATE = 'LOGISTICS'
),
summary_table as (
select 
gf.user_id, 
gf.date as first_date, 
tb.date as before_30d, 
ta.date as after_30d,
tb.GMV as GMV_before_30d, 
ta.GMV as GMV_after_30d,
tb.order_id as Trans_before_30d,
ta.order_id as Trans_after_30d
from grab_first_use gf join trans_before_30d tb on gf.user_id = tb.user_id
                      join trans_after_30d ta on gf.user_id = ta.user_id
)
select 
CASE WHEN before_30d &gt;= date_sub('2023-10-01', interval 30 day) THEN 'before_30d'
  WHEN after_30d &gt;= date_add('2023-11-01',interval 30 day) then 'after_30d' 
    END AS Time_Seperate,
  COUNT(Trans_before_30d) AS Total_Trans_Before_30d,
  SUM(GMV_before_30d) AS Total_GMV_Before_30d,
  COUNT(Trans_after_30d) AS Total_Trans_After_30d,
  SUM(GMV_after_30d) AS Total_GMV_Before_30d
from summary_table
GROUP BY 1</t>
  </si>
  <si>
    <t xml:space="preserve">with logistics_users as(
  select 
    *
  from `momovn-prod.BU_ECOM.DLS_ALL_TRANS_V3_1`
  where cate = 'LOGISTICS'
    and merchant IN ('BE GROUP','GSM','GOJEK','VINASUN','GRAB-ENDUSER' )
)
  select 
    date,
    user_id, 
    order_id, 
    gmv,
    row_number() over(partition by user_id order by datetime) as rn
  from logistics_users
  where merchant = 'GRAB-ENDUSER' 
  qualify rn = 1
</t>
  </si>
  <si>
    <t>with grab_first_use as(
  select 
    date, 
    user_id, 
    gmv, 
    order_id,
    row_number() over(partition by user_id order by datetime) as rn_user
  from `momovn-prod.BU_ECOM.DLS_ALL_TRANS_V3_1`
  where (merchant = 'GRAB-ENDUSER') and 
  (date between '2023-10-01' and '2023-11-01')
  qualify rn_user = 1
), 
trans_before_30d as(
  select
  g.user_id,
  m.date,
  m.gmv,
  m.order_id 
  from `momovn-prod.BU_ECOM.DLS_ALL_TRANS_V3_1` m join grab_first_use g on m.user_id = g.user_id
  where m.date &lt;= date_sub(g.date, interval 30 day)
    and m.CATE = 'LOGISTICS'
),
trans_after_30d as(
  select
  g.user_id,
  m.date,
  m.gmv,
  m.order_id 
  from `momovn-prod.BU_ECOM.DLS_ALL_TRANS_V3_1` m join grab_first_use g on m.user_id = g.user_id
  where m.date &gt;= date_add(g.date, interval 30 day)
  and m.CATE = 'LOGISTICS'
),
summary_table as (
select 
gf.user_id, 
gf.date as first_date, 
tb.date as before_30d, 
ta.date as after_30d,
tb.GMV as GMV_before_30d, 
ta.GMV as GMV_after_30d,
tb.order_id as Trans_before_30d,
ta.order_id as Trans_after_30d
from grab_first_use gf join trans_before_30d tb on gf.user_id = tb.user_id
                      join trans_after_30d ta on gf.user_id = ta.user_id
)
select 
CASE WHEN before_30d between date_sub('2023-10-01', interval 30 day) and '2023-11-01'  THEN 'before_30d'
  WHEN after_30d &gt;= date_add('2023-11-01',interval 30 day) then 'after_30d' 
    END AS Time_Seperate,
  COUNT(Trans_before_30d) AS Total_Trans_Before_30d,
  SUM(GMV_before_30d) AS Total_GMV_Before_30d,
  COUNT(Trans_after_30d) AS Total_Trans_After_30d,
  SUM(GMV_after_30d) AS Total_GMV_Before_30d
from summary_table
GROUP BY 1</t>
  </si>
  <si>
    <t>with grab_first_use as(
  select 
    date, 
    user_id, 
    gmv, 
    order_id,
    row_number() over(partition by user_id order by datetime) as rn_user
  from `momovn-prod.BU_ECOM.DLS_ALL_TRANS_V3_1`
  where (merchant = 'GRAB-ENDUSER') and 
  (date between '2023-10-01' and '2023-11-01')
  qualify rn_user = 1
), 
trans_before_30d as(
  select
  g.user_id,
  m.date,
  m.gmv,
  m.order_id 
  from `momovn-prod.BU_ECOM.DLS_ALL_TRANS_V3_1` m join grab_first_use g on m.user_id = g.user_id
  where m.date &lt;= date_sub(g.date, interval 30 day)
    and m.CATE = 'LOGISTICS'
),
trans_after_30d as(
  select
  g.user_id,
  m.date,
  m.gmv,
  m.order_id 
  from `momovn-prod.BU_ECOM.DLS_ALL_TRANS_V3_1` m join grab_first_use g on m.user_id = g.user_id
  where m.date &gt;= date_add(g.date, interval 30 day)
  and m.CATE = 'LOGISTICS'
),
summary_table as (
select 
gf.user_id, 
gf.date as first_date, 
tb.date as before_30d, 
ta.date as after_30d,
tb.GMV as GMV_before_30d, 
ta.GMV as GMV_after_30d,
tb.order_id as Trans_before_30d,
ta.order_id as Trans_after_30d
from grab_first_use gf join trans_before_30d tb on gf.user_id = tb.user_id
                      join trans_after_30d ta on gf.user_id = ta.user_id
)
select 
CASE WHEN before_30d between date_sub('2023-10-01', interval 30 day) and '2023-10-01'  THEN 'before_30d'
  WHEN after_30d between '2023-10-01'and date_add('2023-11-01',interval 30 day) then 'after_30d' 
    END AS Time_Seperate,
  COUNT(Trans_before_30d) AS Total_Trans_Before_30d,
  SUM(GMV_before_30d) AS Total_GMV_Before_30d,
  COUNT(Trans_after_30d) AS Total_Trans_After_30d,
  SUM(GMV_after_30d) AS Total_GMV_Before_30d
from summary_table
GROUP BY 1</t>
  </si>
  <si>
    <t>SELECT
  USER_ID,
  ROW_NUMBER() OVER(PARTITION BY USER_ID ORDER BY DATETIME) AS FIRT_TIME  
FROM `momovn-prod.BU_ECOM.DLS_ALL_TRANS_V3_1`
WHERE CATE = 'LOGISTIC' AND MERCHANT = 'GRAB-ENDUSER'</t>
  </si>
  <si>
    <t xml:space="preserve">with grab_first_use as(
  select 
    date, 
    user_id, 
    gmv, 
    order_id,
    row_number() over(partition by user_id order by datetime) as rn_user
  from `momovn-prod.BU_ECOM.DLS_ALL_TRANS_V3_1`
  where merchant = 'GRAB-ENDUSER'
  qualify rn_user = 1
)
select
DATE_SUB(g.date,interval 30 day) as before_30d,
g.user_id, 
m.gmv,
m.order_id
from `momovn-prod.BU_ECOM.DLS_ALL_TRANS_V3_1` m join grab_first_use g on m.user_id = g.user_id
</t>
  </si>
  <si>
    <t>SELECT
  USER_ID,
  ROW_NUMBER() OVER(PARTITION BY USER_ID ORDER BY DATETIME) AS rk_time  
FROM `momovn-prod.BU_ECOM.DLS_ALL_TRANS_V3_1`
WHERE CATE = 'LOGISTIC' AND MERCHANT = 'GRAB-ENDUSER'
QUALIFY rk_time = 1</t>
  </si>
  <si>
    <t>with grab_first_use as(
  select 
    date, 
    user_id, 
    gmv, 
    order_id,
    row_number() over(partition by user_id order by datetime) as rn_user
  from `momovn-prod.BU_ECOM.DLS_ALL_TRANS_V3_1`
  where (merchant = 'GRAB-ENDUSER') and 
  (date between '2023-10-01' and '2023-11-01')
  qualify rn_user = 1
), 
trans_before_30d as(
  select
  g.user_id,
  m.date,
  m.gmv,
  m.order_id 
  from `momovn-prod.BU_ECOM.DLS_ALL_TRANS_V3_1` m join grab_first_use g on m.user_id = g.user_id
  where m.date &lt;= date_sub(g.date, interval 30 day)
    and m.CATE = 'LOGISTICS'
),
trans_after_30d as(
  select
  g.user_id,
  m.date,
  m.gmv,
  m.order_id 
  from `momovn-prod.BU_ECOM.DLS_ALL_TRANS_V3_1` m join grab_first_use g on m.user_id = g.user_id
  where m.date &gt;= date_add(g.date, interval 30 day)
  and m.CATE = 'LOGISTICS'
)
-- ,summary_table as (
select 
gf.user_id, 
gf.date as first_date, 
tb.date as before_30d, 
ta.date as after_30d,
tb.GMV as GMV_before_30d, 
ta.GMV as GMV_after_30d,
tb.order_id as Trans_before_30d,
ta.order_id as Trans_after_30d
from grab_first_use gf join trans_before_30d tb on gf.user_id = tb.user_id
                      join trans_after_30d ta on gf.user_id = ta.user_id
-- )
-- select 
-- CASE WHEN before_30d between date_sub('2023-10-01', interval 30 day) and '2023-10-01'  THEN 'before_30d'
--   WHEN after_30d between '2023-10-01'and date_add('2023-11-01',interval 30 day) then 'after_30d' 
--     END AS Time_Seperate,
--   COUNT(Trans_before_30d) AS Total_Trans_Before_30d,
--   SUM(GMV_before_30d) AS Total_GMV_Before_30d,
--   COUNT(Trans_after_30d) AS Total_Trans_After_30d,
--   SUM(GMV_after_30d) AS Total_GMV_Before_30d
-- from summary_table
-- GROUP BY 1</t>
  </si>
  <si>
    <t xml:space="preserve">  select 
    date, 
    user_id, 
    gmv, 
    order_id,
    row_number() over(partition by user_id order by datetime) as rn_user
  from `momovn-prod.BU_ECOM.DLS_ALL_TRANS_V3_1`
  where merchant = 'grab'
  qualify rn_user = 1</t>
  </si>
  <si>
    <t xml:space="preserve">with grab_first_use as(
  select 
    date, 
    user_id, 
    gmv, 
    order_id,
    row_number() over(partition by user_id order by datetime) as rn_user
  from `momovn-prod.BU_ECOM.DLS_ALL_TRANS_V3_1`
  where merchant = 'GRAB-ENDUSER'
  qualify rn_user = 1
)
select
g.date,
DATE_SUB(g.date,interval 30 day) as before_30d,
g.user_id, 
m.gmv,
m.order_id
from `momovn-prod.BU_ECOM.DLS_ALL_TRANS_V3_1` m join grab_first_use g on m.user_id = g.user_id
where g.date &gt;= '2024-01-01'
</t>
  </si>
  <si>
    <t xml:space="preserve">  select 
    date, 
    user_id, 
    gmv, 
    order_id,
    row_number() over(partition by user_id order by datetime) as rn_user
  from `momovn-prod.BU_ECOM.DLS_ALL_TRANS_V3_1`
  where merchant = 'GRAB-ENDUSER'
  qualify rn_user = 1</t>
  </si>
  <si>
    <t>with grab_first_use as(
  select 
    date, 
    user_id, 
    gmv, 
    order_id,
    row_number() over(partition by user_id order by datetime) as rn_user
  from `momovn-prod.BU_ECOM.DLS_ALL_TRANS_V3_1`
  where (merchant = 'GRAB-ENDUSER') and 
  (date between '2023-10-01' and '2023-11-01')
  qualify rn_user = 1
), 
trans_before_30d as(
  select
  g.user_id,
  m.date,
  m.gmv,
  m.order_id 
  from `momovn-prod.BU_ECOM.DLS_ALL_TRANS_V3_1` m join grab_first_use g on m.user_id = g.user_id
  where m.date between date_sub(g.date, interval 30 day) and g.date
    and m.CATE = 'LOGISTICS'
),
trans_after_30d as(
  select
  g.user_id,
  m.date,
  m.gmv,
  m.order_id 
  from `momovn-prod.BU_ECOM.DLS_ALL_TRANS_V3_1` m join grab_first_use g on m.user_id = g.user_id
  where m.date between g.date and date_add(g.date, interval 30 day) 
  and m.CATE = 'LOGISTICS'
)
-- ,summary_table as (
select 
gf.user_id, 
gf.date as first_date, 
tb.date as before_30d, 
ta.date as after_30d,
tb.GMV as GMV_before_30d, 
ta.GMV as GMV_after_30d,
tb.order_id as Trans_before_30d,
ta.order_id as Trans_after_30d
from grab_first_use gf join trans_before_30d tb on gf.user_id = tb.user_id
                      join trans_after_30d ta on gf.user_id = ta.user_id
-- )
-- select 
-- CASE WHEN before_30d between date_sub('2023-10-01', interval 30 day) and '2023-10-01'  THEN 'before_30d'
--   WHEN after_30d between '2023-10-01'and date_add('2023-11-01',interval 30 day) then 'after_30d' 
--     END AS Time_Seperate,
--   COUNT(Trans_before_30d) AS Total_Trans_Before_30d,
--   SUM(GMV_before_30d) AS Total_GMV_Before_30d,
--   COUNT(Trans_after_30d) AS Total_Trans_After_30d,
--   SUM(GMV_after_30d) AS Total_GMV_Before_30d
-- from summary_table
-- GROUP BY 1</t>
  </si>
  <si>
    <t xml:space="preserve">SELECT 
DATE,
COUNT(DISTINCT ORDER_ID) / COUNT(DISTINCT USER_ID) AS TRANS_PER_USER, 
SUM(GMV) 
FROM  `momovn-prod.BU_ECOM.DLS_ALL_TRANS_V3_1`
where (DATE &gt;= '2024-10-01') AND (CATE = 'ADS PAYMENT') AND (MERCHANT = 'FACEBOOK')
GROUP BY 1
ORDER BY 1
</t>
  </si>
  <si>
    <t>select
USER_ID, 
ORDER_ID, 
GMV,
NET_REV, 
MERCHANT,
MONEY_SOURCE_NAME,
PROMO_AMOUNT, 
REFUND_AMOUNT, 
CASHBACK_AMOUNT,
CHEATING
from `momovn-prod.BU_ECOM.DLS_ALL_TRANS_V3_1`
where (DATE = '2024-11-07') AND (CATE = 'ADS PAYMENT') AND (MERCHANT = 'FACEBOOK')
ORDER BY 1,2
select
date,
count(distinct order_id)
from `momovn-prod.BU_ECOM.DLS_ALL_TRANS_V3_1`
where (DATE between '2024-10-01' and '2024-11-11') AND (CATE = 'ADS PAYMENT') AND (MERCHANT = 'FACEBOOK')
and (NET_REV = 0)
group by 1
ORDER BY 1</t>
  </si>
  <si>
    <t xml:space="preserve">select
USER_ID, 
ORDER_ID, 
GMV,
NET_REV, 
MERCHANT,
MONEY_SOURCE_NAME,
PROMO_AMOUNT, 
REFUND_AMOUNT, 
CASHBACK_AMOUNT
from `momovn-prod.BU_ECOM.DLS_ALL_TRANS_V3_1`
where (DATE = '2024-11-07') AND (CATE = 'ADS PAYMENT') AND (MERCHANT = 'FACEBOOK')
ORDER BY 1,2
</t>
  </si>
  <si>
    <t>select
USER_ID, 
ORDER_ID, 
GMV,
NET_REV, 
MERCHANT,
MONEY_SOURCE_NAME,
PROMO_AMOUNT, 
REFUND_AMOUNT, 
CASHBACK_AMOUNT,
CHEATING
from `momovn-prod.BU_ECOM.DLS_ALL_TRANS_V3_1`
where (DATE = '2024-11-07') AND (CATE = 'ADS PAYMENT') AND (MERCHANT = 'FACEBOOK')
ORDER BY 1,2</t>
  </si>
  <si>
    <t xml:space="preserve">select
USER_ID, 
ORDER_ID, 
GMV,
NET_REV, 
MERCHANT,
MONEY_SOURCE_NAME,
PROMO_AMOUNT, 
REFUND_AMOUNT, 
CASHBACK_AMOUNT,
CHEATING
from `momovn-prod.BU_ECOM.DLS_ALL_TRANS_V3_1`
where (DATE = '2024-11-07') AND (CATE = 'ADS PAYMENT') AND (MERCHANT = 'FACEBOOK')
ORDER BY 1,2
</t>
  </si>
  <si>
    <t xml:space="preserve">select
DATETIME,
USER_ID, 
ORDER_ID, 
GMV,
NET_REV, 
MERCHANT,
MONEY_SOURCE_NAME,
PROMO_AMOUNT, 
REFUND_AMOUNT, 
CASHBACK_AMOUNT,
CHEATING
from `momovn-prod.BU_ECOM.DLS_ALL_TRANS_V3_1`
where (DATE = '2024-11-07') AND (CATE = 'ADS PAYMENT') AND (MERCHANT = 'FACEBOOK')
ORDER BY 1,2
</t>
  </si>
  <si>
    <t xml:space="preserve">SELECT 
DATE,
COUNT(DISTINCT ORDER_ID) / COUNT(DISTINCT USER_ID) AS TRANS_PER_USER, 
SUM(GMV) / COUNT(DISTINCT USER_ID) AS GMV_PER_USERS
FROM  `momovn-prod.BU_ECOM.DLS_ALL_TRANS_V3_1`
where (DATE &gt;= '2024-10-01') AND (CATE = 'ADS PAYMENT') AND (MERCHANT = 'FACEBOOK')
GROUP BY 1
</t>
  </si>
  <si>
    <t xml:space="preserve">SELECT 
DATE,
COUNT(DISTINCT ORDER_ID) / COUNT(DISTINCT USER_ID) AS TRANS_PER_USER, 
SUM(GMV) / COUNT(DISTINCT USER_ID) AS GMV_PER_USERS
FROM  `momovn-prod.BU_ECOM.DLS_ALL_TRANS_V3_1`
where (DATE &gt;= '2024-10-01') AND (CATE = 'ADS PAYMENT') AND (MERCHANT = 'FACEBOOK')
GROUP BY 1
ORDER BY 1
</t>
  </si>
  <si>
    <t>SELECT DISTINCT REQ_TYPE
FROM `momovn-prod.BU_ECOM.DLS_ALL_TRANS_V3_1`</t>
  </si>
  <si>
    <t xml:space="preserve">
WITH TEST AS(
SELECT 
DATE,
USER_ID,
COUNT(DISTINCT ORDER_ID) AS TOTAL
FROM  `momovn-prod.BU_ECOM.DLS_ALL_TRANS_V3_1`
where (DATE BETWEEN '2024-11-07' AND '2024-11-11') AND (CATE = 'ADS PAYMENT') AND (MERCHANT = 'FACEBOOK')
GROUP BY 1,2
)
SELECT DATE, 
COUNT(DISTINCT USER_ID)
FROM TEST
WHERE TOTAL &gt; 100
GROUP BY 1</t>
  </si>
  <si>
    <t>WITH TEST AS(
SELECT 
  DATE, 
  USER_ID,
  COUNT(DISTINCT ORDER_ID) AS ORDER_ID
FROM `momovn-prod.BU_ECOM.DLS_ALL_TRANS_V3_1`
where (DATE BETWEEN '2024-10-01' AND '2024-11-11') AND (CATE = 'ADS PAYMENT') AND (MERCHANT = 'FACEBOOK')
GROUP BY 1,2
)
  SELECT 
  DATE, 
  COUNT(DISTINCT USER_ID)
  FROM TEST
  WHERE ORDER_ID &gt;= 4</t>
  </si>
  <si>
    <t xml:space="preserve">
WITH TEST AS(
SELECT 
DATE,
USER_ID,
COUNT(DISTINCT ORDER_ID) AS TOTAL
FROM  `momovn-prod.BU_ECOM.DLS_ALL_TRANS_V3_1`
where (DATE BETWEEN '2024-10-01' AND '2024-11-11') AND (CATE = 'ADS PAYMENT') AND (MERCHANT = 'FACEBOOK')
GROUP BY 1,2
)
SELECT DATE, 
COUNT(DISTINCT USER_ID)
FROM TEST
WHERE TOTAL &gt; 100
GROUP BY 1
ORDER BY 1</t>
  </si>
  <si>
    <t>select distinct *
from `momovn-prod.BU_ECOM.DLS_ALL_TRANS_V3_1`
where merchant = 'GOOGLE'</t>
  </si>
  <si>
    <t>phuong.tong@mservice.com.vn</t>
  </si>
  <si>
    <t>WITH TEST AS(
SELECT 
  DATE, 
  USER_ID,
  COUNT(DISTINCT ORDER_ID) AS ORDER_ID
FROM `momovn-prod.BU_ECOM.DLS_ALL_TRANS_V3_1`
where (DATE BETWEEN '2024-10-01' AND '2024-11-11') AND (CATE = 'ADS PAYMENT') AND (MERCHANT = 'FACEBOOK')
GROUP BY 1,2
)
  SELECT 
  DATE, 
  COUNT(DISTINCT USER_ID)
  FROM TEST
  WHERE ORDER_ID &gt;= 4
  GROUP BY 1</t>
  </si>
  <si>
    <t>SELECT DISTINCT DATETIME
FROM `momovn-prod.BU_ECOM.DLS_ALL_TRANS_V3_1`
WHERE DATE = '2024-11-12'</t>
  </si>
  <si>
    <t>SELECT DISTINCT MERCHANT
FROM `momovn-prod.BU_ECOM.DLS_ALL_TRANS_V3_1`
ORDER BY MERCHANT
LIMIT 25;</t>
  </si>
  <si>
    <t>SELECT DISTINCT MERCHANT
FROM momovn-prod.BU_ECOM.DLS_ALL_TRANS_V3_1
ORDER BY MERCHANT
LIMIT 25;</t>
  </si>
  <si>
    <t xml:space="preserve">WITH USER_TRANS AS(
SELECT
DATE,
USER_ID,
COUNT(DISTINCT ORDER_ID) AS TOTAL_ORDER,
SUM(GMV) AS TOTAL_GMV
FROM  `momovn-prod.BU_ECOM.DLS_ALL_TRANS_V3_1`
where (DATE &gt;= '2024-10-01') AND (CATE = 'ADS PAYMENT') AND (MERCHANT = 'FACEBOOK')
GROUP BY 1,2
)
  SELECT DISTINCT USER_ID,
  TOTAL_GMV
  FROM USER_TRANS
  WHERE TOTAL_ORDER &gt; 100
</t>
  </si>
  <si>
    <t>WITH TEST AS(
SELECT 
  DATE, 
  USER_ID,
  COUNT(DISTINCT ORDER_ID) AS ORDER_ID
FROM `momovn-prod.BU_ECOM.DLS_ALL_TRANS_V3_1`
where (DATE BETWEEN '2024-10-01' AND '2024-11-11') AND (CATE = 'ADS PAYMENT') AND (MERCHANT = 'FACEBOOK')
GROUP BY 1,2
)
  SELECT 
  DATE, 
  COUNT(DISTINCT USER_ID)
  FROM TEST
  WHERE ORDER_ID &gt;= 6
  GROUP BY 1
  ORDER BY 1</t>
  </si>
  <si>
    <t>WITH TEST AS(
SELECT 
  DATE, 
  USER_ID,
  COUNT(DISTINCT ORDER_ID) AS ORDER_ID
FROM `momovn-prod.BU_ECOM.DLS_ALL_TRANS_V3_1`
where (DATE BETWEEN '2024-10-01' AND '2024-11-11') AND (CATE = 'ADS PAYMENT') AND (MERCHANT = 'FACEBOOK')
GROUP BY 1,2
)
  SELECT 
  DATE, 
  COUNT(DISTINCT USER_ID)
  FROM TEST
  WHERE ORDER_ID &gt;= 10
  GROUP BY 1
  ORDER BY 1</t>
  </si>
  <si>
    <t>select distinct datetime
from `momovn-prod.BU_ECOM.DLS_ALL_TRANS_V3_1`
where date = '2024-11-11'
order by 1 desc</t>
  </si>
  <si>
    <t xml:space="preserve">WITH USER_TRANS AS(
SELECT
DATE,
USER_ID,
COUNT(DISTINCT ORDER_ID) AS TOTAL_ORDER,
SUM(GMV) AS TOTAL_GMV
FROM  `momovn-prod.BU_ECOM.DLS_ALL_TRANS_V3_1`
where (DATE &gt;= '2024-10-01') AND (CATE = 'ADS PAYMENT') AND (MERCHANT = 'FACEBOOK')
GROUP BY 1,2
)
  SELECT 
  DATE,
  SUM(TOTAL_GMV)
  FROM USER_TRANS
  WHERE TOTAL_ORDER &gt; 100
  GROUP BY 1
  ORDER BY 1
</t>
  </si>
  <si>
    <t xml:space="preserve">
SELECT DISTINCT 
  merchant, 
  sub_merchant, 
  SERVICE_CODE
FROM `momovn-prod.BU_ECOM.DLS_ALL_TRANS_V3_1`
WHERE merchant = 'GOOGLE'</t>
  </si>
  <si>
    <t>select distinct merchant, sub_merchant, service_code
from `momovn-prod.BU_ECOM.DLS_ALL_TRANS_V3_1`
where merchant = 'GOOGLE'
order by 2,3</t>
  </si>
  <si>
    <t>select
CATE,  
COUNT(DISTINCT USER_ID)
from `momovn-prod.BU_ECOM.DLS_ALL_TRANS_V3_1`
where month = '2024-07-01' AND CATE = 'APPLE'
GROUP BY 1</t>
  </si>
  <si>
    <t>select
CATE,  
COUNT(DISTINCT USER_ID)
from `momovn-prod.BU_ECOM.DLS_ALL_TRANS_V3_1`
where month = '2024-07-01' AND MERCHANT = 'APPLE'
GROUP BY 1</t>
  </si>
  <si>
    <t xml:space="preserve">WITH TEST AS(
SELECT 
DATE,
USER_ID,
COUNT(DISTINCT ORDER_ID) AS TOTAL
FROM  `momovn-prod.BU_ECOM.DLS_ALL_TRANS_V3_1`
where (DATE &gt;= '2024-11-07') AND (CATE = 'ADS PAYMENT') AND (MERCHANT = 'FACEBOOK')
GROUP BY 1,2
)
SELECT 
  T1.USER_ID, 
  T2.USER_ID
FROM TEST T1
JOIN `momovn-prod.BU_ECOM.DLS_ALL_TRANS_V3_1` T2
  ON T1.USER_ID = T2.USER_ID
  AND T1.DATE = T2.DATE
  AND T1.TOTAL &gt; 100
  </t>
  </si>
  <si>
    <t xml:space="preserve">WITH TEST AS(
SELECT 
DATE,
USER_ID,
COUNT(DISTINCT ORDER_ID) AS TOTAL
FROM  `momovn-prod.BU_ECOM.DLS_ALL_TRANS_V3_1`
where (DATE &gt;= '2024-11-07') AND (CATE = 'ADS PAYMENT') AND (MERCHANT = 'FACEBOOK')
GROUP BY 1,2
)
SELECT 
  T1.USER_ID, 
  T2.USER_ID
FROM TEST T1
JOIN `momovn-prod.BU_ECOM.DLS_ALL_TRANS_V3_1` T2
  ON T1.USER_ID = T2.USER_ID
  AND T1.DATE = T2.DATE
  AND T1.TOTAL &gt; 100
GROUP BY 1
  </t>
  </si>
  <si>
    <t xml:space="preserve">select
USER_ID,
ORDER_ID, 
GMV,
NET_REV
from `momovn-prod.BU_ECOM.DLS_ALL_TRANS_V3_1`
where (DATE BETWEEN '2024-11-08' AND '2024-11-11') AND (CATE = 'ADS PAYMENT')
</t>
  </si>
  <si>
    <t>SELECT USER_ID, DATETIME, ORDER_ID, GMV, NET_REV, GMV,MERCHANT, SUB_MERCHANT
from `momovn-prod.BU_ECOM.DLS_ALL_TRANS_V3_1`
where month = '2024-07-01' AND MERCHANT = 'APPLE'</t>
  </si>
  <si>
    <t>select
*
from `momovn-prod.BU_ECOM.DLS_ALL_TRANS_V3_1`
where (DATE = '2024-07-01') AND (CATE = 'ADS PAYMENT') AND (MERCHANT = 'FACEBOOK')
and user_id = 1572929
ORDER BY 1</t>
  </si>
  <si>
    <t>select
*
from `momovn-prod.BU_ECOM.DLS_ALL_TRANS_V3_1`
where (DATE = '2024-11-07') AND (CATE = 'ADS PAYMENT') AND (MERCHANT = 'FACEBOOK')
and user_id = 1572929
ORDER BY 1</t>
  </si>
  <si>
    <t xml:space="preserve">select
USER_ID, 
ORDER_ID, 
GMV
from `momovn-prod.BU_ECOM.DLS_ALL_TRANS_V3_1`
where (DATE = '2024-11-07') AND (CATE = 'ADS PAYMENT') AND (MERCHANT = 'FACEBOOK')
ORDER BY 1,2
</t>
  </si>
  <si>
    <t xml:space="preserve">WITH TEST AS(
SELECT 
DATE,
USER_ID,
COUNT(DISTINCT ORDER_ID) AS TOTAL
FROM  `momovn-prod.BU_ECOM.DLS_ALL_TRANS_V3_1`
where (DATE &gt;= '2024-11-07') AND (CATE = 'ADS PAYMENT') AND (MERCHANT = 'FACEBOOK')
GROUP BY 1,2
)
SELECT 
  T2.TRANS_TYPE, 
  COUNT(DISTINCT T2.ORDER_ID)
FROM TEST T1
JOIN `momovn-prod.BU_ECOM.DLS_ALL_TRANS_V3_1` T2
  ON T1.USER_ID = T2.USER_ID
  AND T1.DATE = T2.DATE
  AND T1.TOTAL &gt; 100
GROUP BY 1
  </t>
  </si>
  <si>
    <t xml:space="preserve">select
USER_ID,
ORDER_ID, 
GMV,
NET_REV
from `momovn-prod.BU_ECOM.DLS_ALL_TRANS_V3_1`
where (DATE BETWEEN '2024-11-01' AND '2024-11-02') AND (CATE = 'ADS PAYMENT')
ORDER BY 1,2
</t>
  </si>
  <si>
    <t xml:space="preserve">select
USER_ID,
ORDER_ID, 
GMV,
NET_REV
from `momovn-prod.BU_ECOM.DLS_ALL_TRANS_V3_1`
where (DATE BETWEEN '2024-11-08' AND '2024-11-11') AND (CATE = 'ADS PAYMENT')
ORDER BY 1,2
</t>
  </si>
  <si>
    <t xml:space="preserve">select
USER_ID,
ORDER_ID, 
GMV,
NET_REV
from `momovn-prod.BU_ECOM.DLS_ALL_TRANS_V3_1`
where (DATE = '2024-11-08') AND (CATE = 'ADS PAYMENT') AND (MERCHANT = 'FACEBOOK')
ORDER BY 1,2
</t>
  </si>
  <si>
    <t>SELECT USER_ID, DATETIME, ORDER_ID, GMV, NET_REV, GMV,MERCHANT, SUB_MERCHANT
from `momovn-prod.BU_ECOM.DLS_ALL_TRANS_V3_1`
where month = '2024-07-01' AND MERCHANT = 'APPLE' AND CATE = 'RETAIL'</t>
  </si>
  <si>
    <t xml:space="preserve">select
ORDER_ID, 
COUNT(*)
from `momovn-prod.BU_ECOM.DLS_ALL_TRANS_V3_1`
where (DATE = '2024-11-10') AND (CATE = 'ADS PAYMENT') AND (MERCHANT = 'FACEBOOK')
GROUP BY 1
ORDER BY 2 DESC 
</t>
  </si>
  <si>
    <t xml:space="preserve">select
DATE, 
USER_ID, 
ORDER_ID, 
GMV, 
NET_REV
from `momovn-prod.BU_ECOM.DLS_ALL_TRANS_V3_1`
where (DATE = '2024-11-10') AND (CATE = 'ADS PAYMENT') AND (MERCHANT = 'FACEBOOK')
ORDER BY 1,2
</t>
  </si>
  <si>
    <t>SELECT
DATE,
USER_ID,
COUNT(DISTINCT ORDER_ID) AS TOTAL
FROM  `momovn-prod.BU_ECOM.DLS_ALL_TRANS_V3_1`
where (DATE &gt;= '2024-10-01') AND (CATE = 'ADS PAYMENT') AND (MERCHANT = 'FACEBOOK')
GROUP BY 1</t>
  </si>
  <si>
    <t>SELECT
DATE,
USER_ID,
COUNT(DISTINCT ORDER_ID) AS TOTAL
FROM  `momovn-prod.BU_ECOM.DLS_ALL_TRANS_V3_1`
where (DATE &gt;= '2024-10-01') AND (CATE = 'ADS PAYMENT') AND (MERCHANT = 'FACEBOOK')
GROUP BY 1,2</t>
  </si>
  <si>
    <t xml:space="preserve">select
DATE, 
COUNT(DISTINCT ORDER_ID),
SUM(GMV)
from `momovn-prod.BU_ECOM.DLS_ALL_TRANS_V3_1`
where (DATE = '2024-11-10') AND (CATE = 'ADS PAYMENT') AND (MERCHANT = 'FACEBOOK')
GROUP BY 1
ORDER BY 1,2
</t>
  </si>
  <si>
    <t xml:space="preserve">select
USER_ID,
ORDER_ID, 
GMV,
NET_REV
from `momovn-prod.BU_ECOM.DLS_ALL_TRANS_V3_1`
where (DATE BETWEEN '2024-11-01' AND '2024-11-02') AND (CATE = 'ADS PAYMENT') AND (MERCHANT = 'FACEBOOK')
ORDER BY 1,2
</t>
  </si>
  <si>
    <t xml:space="preserve">select
USER_ID,
ORDER_ID, 
GMV,
NET_REV
from `momovn-prod.BU_ECOM.DLS_ALL_TRANS_V3_1`
where (DATE BETWEEN '2024-11-08' AND '2024-11-11') AND (CATE = 'ADS PAYMENT') AND (MERCHANT = 'FACEBOOK')
ORDER BY 1,2
</t>
  </si>
  <si>
    <t>SELECT DISTINCT 
  date,
  user_id,
  order_id, 
  GMV,
  sub_merchant, 
FROM `momovn-prod.BU_ECOM.DLS_ALL_TRANS_V3_1`
WHERE merchant = 'GOOGLE' AND month = '2024-10-01' AND sub_merchant LIKE 'GOOGLE_DESCRIPTION%'</t>
  </si>
  <si>
    <t xml:space="preserve">select
USER_ID, 
ORDER_ID, 
GMV,
NET_REV, 
MERCHANT,
MONEY_SOURCE_NAME
from `momovn-prod.BU_ECOM.DLS_ALL_TRANS_V3_1`
where (DATE = '2024-11-07') AND (CATE = 'ADS PAYMENT') AND (MERCHANT = 'FACEBOOK')
ORDER BY 1,2
</t>
  </si>
  <si>
    <t xml:space="preserve">select
DATE, 
COUNT(DISTINCT ORDER_ID)
from `momovn-prod.BU_ECOM.DLS_ALL_TRANS_V3_1`
where (DATE BETWEEN '2024-10-01' AND '2024-11-11') AND (CATE = 'ADS PAYMENT') AND (MERCHANT = 'FACEBOOK')
GROUP BY 1
ORDER BY 1,2
</t>
  </si>
  <si>
    <t xml:space="preserve">select
DATE, 
COUNT(DISTINCT ORDER_ID)
from `momovn-prod.BU_ECOM.DLS_ALL_TRANS_V3_1`
where (DATE BETWEEN '2024-11-07' AND '2024-11-11') AND (CATE = 'ADS PAYMENT') AND (MERCHANT = 'FACEBOOK')
GROUP BY 1
ORDER BY 1,2
</t>
  </si>
  <si>
    <t>SELECT 
DATE,
COUNT(DISTINCT ORDER_ID)
from `momovn-prod.BU_ECOM.DLS_ALL_TRANS_V3_1`
where (DATE BETWEEN '2024-10-01' AND '2024-11-11') AND (CATE = 'ADS PAYMENT') AND (MERCHANT = 'FACEBOOK')
AND (NET_REV = 0)
GROUP BY 1</t>
  </si>
  <si>
    <t>SELECT 
  month, 
  COUNT(DISTINCT user_id) MAU
FROM `momovn-prod.BU_ECOM.DLS_ALL_TRANS_V3_1` t1 
WHERE 1=1
  AND t1.cate = 'APPLICATION STORE' 
  AND t1.month BETWEEN '2022-10-01' AND '2024-11-01' 
GROUP BY 1
ORDER BY 1</t>
  </si>
  <si>
    <t xml:space="preserve">select
DATE,
SUM(GMV) / COUNT(DISTINCT ORDER_ID)
from `momovn-prod.BU_ECOM.DLS_ALL_TRANS_V3_1`
where (DATE BETWEEN '2024-10-01' AND '2024-11-11') AND (CATE = 'ADS PAYMENT') AND (MERCHANT = 'FACEBOOK')
GROUP BY 1
ORDER BY 1 
</t>
  </si>
  <si>
    <t xml:space="preserve">
select
DATE, USER_ID, ORDER_ID, TRANS_TYPE, MONEY_SOURCE_NAME, GMV, NET_REV
from `momovn-prod.BU_ECOM.DLS_ALL_TRANS_V3_1`
where (DATE = '2024-11-07') AND (CATE = 'ADS PAYMENT') AND (MERCHANT = 'FACEBOOK')
and user_id = 1572929
</t>
  </si>
  <si>
    <t xml:space="preserve">select
DATE, 
COUNT(DISTINCT ORDER_ID),
SUM(GMV)
from `momovn-prod.BU_ECOM.DLS_ALL_TRANS_V3_1`
where (DATE BETWEEN '2024-10-01' AND '2024-11-11') AND (CATE = 'ADS PAYMENT') AND (MERCHANT = 'FACEBOOK')
GROUP BY 1
ORDER BY 1,2
</t>
  </si>
  <si>
    <t>select
date,
count(distinct order_id)
from `momovn-prod.BU_ECOM.DLS_ALL_TRANS_V3_1`
where (DATE between '2024-10-01' and '2024-11-07') AND (CATE = 'ADS PAYMENT') AND (MERCHANT = 'FACEBOOK')
and (NET_REV = 0)
group by 1
ORDER BY 1</t>
  </si>
  <si>
    <t>select
date,
count(distinct order_id)
from `momovn-prod.BU_ECOM.DLS_ALL_TRANS_V3_1`
where (DATE between '2024-10-01' and '2024-11-11') AND (CATE = 'ADS PAYMENT') AND (MERCHANT = 'FACEBOOK')
and (NET_REV = 0)
group by 1
ORDER BY 1</t>
  </si>
  <si>
    <t>SELECT 
DATE,
COUNT(DISTINCT ORDER_ID)
from `momovn-prod.BU_ECOM.DLS_ALL_TRANS_V3_1`
where (DATE BETWEEN '2024-10-01' AND '2024-11-11') AND (CATE = 'ADS PAYMENT') AND (MERCHANT = 'FACEBOOK')
AND (NET_REV = 0)
GROUP BY 1
ORDER BY 1</t>
  </si>
  <si>
    <t xml:space="preserve">select
DATE,
SUM(GMV) / COUNT(DISTINCT ORDER_ID)
from `momovn-prod.BU_ECOM.DLS_ALL_TRANS_V3_1`
where (DATE BETWEEN '2024-11-01' AND '2024-11-11') AND (CATE = 'ADS PAYMENT') AND (MERCHANT = 'FACEBOOK')
GROUP BY 1
ORDER BY 2 DESC 
</t>
  </si>
  <si>
    <t>select
DATE, USER_ID, ORDER_ID, TRANS_TYPE, MONEY_SOURCE_NAME, GMV, NET_REV
from `momovn-prod.BU_ECOM.DLS_ALL_TRANS_V3_1`
where (DATE = '2024-11-07') AND (CATE = 'ADS PAYMENT') AND (MERCHANT = 'FACEBOOK')
and user_id = 1572929
ORDER BY 2,3</t>
  </si>
  <si>
    <t xml:space="preserve">select
DATE,
COUNT(DISTINCT ORDER_ID) / COUNT(DISTINCT USER_ID)
from `momovn-prod.BU_ECOM.DLS_ALL_TRANS_V3_1`
where (DATE BETWEEN '2024-10-01' AND '2024-11-11') AND (CATE = 'ADS PAYMENT') AND (MERCHANT = 'FACEBOOK')
GROUP BY 1
ORDER BY 1 
</t>
  </si>
  <si>
    <t>select
DATETIME, USER_ID, ORDER_ID, TRANS_TYPE, MONEY_SOURCE_NAME, GMV, NET_REV
from `momovn-prod.BU_ECOM.DLS_ALL_TRANS_V3_1`
where (DATE = '2024-11-07') AND (CATE = 'ADS PAYMENT') AND (MERCHANT = 'FACEBOOK')
and user_id = 1572929
ORDER BY 2,3</t>
  </si>
  <si>
    <t>SELECT 
  CATE,
  COUNT(*) AS total_transactions
FROM 
  `momovn-prod.BU_ECOM.DLS_ALL_TRANS_V3_1`
WHERE 
  CATE IN ('APPLICATION STORE', 'LOGISTICS', 'GAME', 'OTT', 'MARKETPLACE', 'ADS PAYMENT', 'DIGITAL CONTENT') AND 
  DATE BETWEEN '2024-10-28' AND '2024-11-03'
GROUP BY 
  CATE
ORDER BY 
  total_transactions DESC</t>
  </si>
  <si>
    <t>SELECT 
  CATE,
  COUNT(*) AS total_transactions
FROM 
  `momovn-prod.BU_ECOM.DLS_ALL_TRANS_V3_1`
WHERE 
  CATE IN ('APPSTORE', 'LOGISTICS', 'GAME', 'OTT', 'MARKETPLACE', 'ADS PAYMENT', 'DIGITAL CONTENT') AND 
  DATE BETWEEN '2024-10-28' AND '2024-11-03'
GROUP BY 
  CATE
ORDER BY 
  total_transactions DESC
LIMIT 10</t>
  </si>
  <si>
    <t>SELECT 
DISTINCT DATE, MERCHANT, GMV, NET_REV
FROM `momovn-prod.BU_ECOM.DLS_ALL_TRANS_V3_1`
WHERE USER_ID = 59331890 AND DATE &gt;= '2024-10-01'</t>
  </si>
  <si>
    <t>SELECT 
DISTINCT DATE, MERCHANT, GMV, NET_REV
FROM `momovn-prod.BU_ECOM.DLS_ALL_TRANS_V3_1`
WHERE USER_ID = 59335890 AND DATE &gt;= '2024-10-01'</t>
  </si>
  <si>
    <t>SELECT 
  DISTINCT USER_ID, 
  DATETIME
FROM  `momovn-prod.BU_ECOM.DLS_ALL_TRANS_V3_1` 
WHERE DATE &gt;= '2024-10-31'
AND USER_ID IN (35507979)</t>
  </si>
  <si>
    <t>SELECT 
DISTINCT DATE, MERCHANT, GMV, NET_REV
FROM `momovn-prod.BU_ECOM.DLS_ALL_TRANS_V3_1`
WHERE USER_ID = 593358910 AND DATE &gt;= '2024-10-01'</t>
  </si>
  <si>
    <t>SELECT 
  DISTINCT USER_ID, 
  DATETIME
FROM  `momovn-prod.BU_ECOM.DLS_ALL_TRANS_V3_1` 
WHERE DATE &gt;= '2024-10-31'
AND USER_ID IN (88810195,35507979)</t>
  </si>
  <si>
    <t>SELECT 
DISTINCT DATETIME, MERCHANT, GMV, NET_REV
FROM `momovn-prod.BU_ECOM.DLS_ALL_TRANS_V3_1`
WHERE USER_ID = 59331890 AND DATE &gt;= '2024-10-01'
ORDER BY 1</t>
  </si>
  <si>
    <t>SELECT
 COUNT(*) AS total_transactions
FROM
 `momovn-prod.BU_ECOM.DLS_ALL_TRANS_V3_1`
WHERE
 CATE = 'ONLINE PAYMENT' AND
 DATE BETWEEN '2024-10-28' AND '2024-11-03'</t>
  </si>
  <si>
    <t>SELECT 
  COUNT(*) AS total_transactions
FROM 
  `momovn-prod.BU_ECOM.DLS_ALL_TRANS_V3_1`
WHERE 
  CATE = 'ONLINE PAYMENT' AND 
  DATE BETWEEN '2024-10-28' AND '2024-11-03'</t>
  </si>
  <si>
    <t xml:space="preserve">SELECT 
  COUNT(*) AS total_transactions
FROM 
  `momovn-prod.BU_ECOM.DLS_ALL_TRANS_V3_1`
WHERE 
  CATE = 'ONLINE PAYMENT' AND 
  DATE BETWEEN '2024-10-28' AND '2024-11-03'
</t>
  </si>
  <si>
    <t>SELECT 
  COUNT(*) as total_transactions
FROM 
  `momovn-prod.BU_ECOM.DLS_ALL_TRANS_V3_1`
WHERE 
  DATE BETWEEN '2024-10-28' AND '2024-11-03'
  AND CATE = 'ONLINE PAYMENT'
LIMIT 10</t>
  </si>
  <si>
    <t>SELECT 
  DISTINCT USER_ID, 
  DATETIME
FROM  `momovn-prod.BU_ECOM.DLS_ALL_TRANS_V3_1` 
WHERE  MERCHANT = 'APPLE' AND DATE &gt;= '2024-10-31'
AND USER_ID IN (67511325,88810195,64980684,35507979,47537559,64324525)</t>
  </si>
  <si>
    <t>SELECT 
  DISTINCT USER_ID, 
  DATETIME,
  MERCHANT
FROM  `momovn-prod.BU_ECOM.DLS_ALL_TRANS_V3_1` 
WHERE  MERCHANT != 'APPLE' AND DATE &gt;= '2024-10-31'
AND USER_ID IN (67511325,88810195,64980684,35507979,47537559,64324525)</t>
  </si>
  <si>
    <t>SELECT 
DISTINCT MERCHANT 
FROM `momovn-prod.BU_ECOM.DLS_ALL_TRANS_V3_1`
WHERE MERCHANT LIKE "%SMS%"</t>
  </si>
  <si>
    <t>SELECT 
DISTINCT MERCHANT 
FROM `momovn-prod.BU_ECOM.DLS_ALL_TRANS_V3_1`
WHERE MERCHANT LIKE "%VIETLLOT%"</t>
  </si>
  <si>
    <t xml:space="preserve">SELECT DISTINCT
  DATE,
  USER_ID, 
  ORDER_ID, 
  MERCHANT
FROM `momovn-prod.BU_ECOM.DLS_ALL_TRANS_V3_1`
WHERE MERCHANT = 'GSM' AND USER_ID IN (50255026,43718766,39609007,38875717) 
ORDER BY 1
</t>
  </si>
  <si>
    <t xml:space="preserve">  SELECT 
    USER_ID
  FROM `momovn-prod.BU_ECOM.DLS_ALL_TRANS_V3_1`
  WHERE MERCHANT IN ('VIETLOTT SMS MOBI','VIETLOTT SMS VIETTEL','VIETLOTT SMS VINA')
  AND DATE BETWEEN '2024-09-16' AND '2024-09-30'</t>
  </si>
  <si>
    <t xml:space="preserve">SELECT DISTINCT
  DATE,
  USER_ID, 
  ORDER_ID, 
  MERCHANT,
  GMV
FROM `momovn-prod.BU_ECOM.DLS_ALL_TRANS_V3_1`
WHERE MERCHANT = 'GSM' AND USER_ID IN (50255026,43718766,39609007,38875717) 
ORDER BY 1
</t>
  </si>
  <si>
    <t xml:space="preserve">  SELECT 
    USER_ID,
    MERCHANT
  FROM `momovn-prod.BU_ECOM.DLS_ALL_TRANS_V3_1`
  WHERE MERCHANT IN ('VIETLOTT SMS MOBI','VIETLOTT SMS VIETTEL','VIETLOTT SMS VINA')
  AND DATE BETWEEN '2024-09-16' AND '2024-09-30'</t>
  </si>
  <si>
    <t xml:space="preserve">  SELECT 
    USER_ID, 
    ORDER_ID
  FROM `momovn-prod.BU_ECOM.DLS_ALL_TRANS_V3_1`
  WHERE MERCHANT IN ('VIETLOTT SMS MOBI','VIETLOTT SMS VIETTEL','VIETLOTT SMS VINA')
  AND DATE BETWEEN '2024-09-16' AND '2024-09-30'</t>
  </si>
  <si>
    <t xml:space="preserve"> SELECT 
    USER_ID, 
    ORDER_ID,
    DATE
  FROM `momovn-prod.BU_ECOM.DLS_ALL_TRANS_V3_1`
  WHERE MERCHANT IN ('VIETLOTT SMS MOBI','VIETLOTT SMS VIETTEL','VIETLOTT SMS VINA')
  AND DATE BETWEEN '2024-09-16' AND '2024-09-30'
  ORDER BY 3 </t>
  </si>
  <si>
    <t>SELECT
  MONTH,
  SERVICE_CODE,
  SUM(NET_REV)  
FROM (
SELECT
    USER_ID,
    MONTH AS MONTH,
    CATE,
    MERCHANT,
    CASE 
        --- APPLE
        WHEN MERCHANT = 'APPLE' AND SUB_MERCHANT = 'APPLE ICLOUD'           THEN 'm4becomadyen_apple.icloud'
        WHEN MERCHANT = 'APPLE'                                             THEN 'm4becomadyen_apple.others'
      ELSE SERVICE_CODE END AS SERVICE_CODE,
    NET_REV
FROM `momovn-prod.BU_ECOM.DLS_ALL_TRANS_V3_1`
WHERE MONTH &gt;= '2024-01-01' AND MERCHANT = 'APPLE'
)
GROUP BY 1,2</t>
  </si>
  <si>
    <t>SELECT
  MONTH,
  SERVICE_CODE,
  SUM(NET_REV)  
FROM (
SELECT
    USER_ID,
    MONTH AS MONTH,
    CATE,
    MERCHANT,
    CASE 
        --- APPLE
        WHEN MERCHANT = 'APPLE' AND SUB_MERCHANT = 'APPLE ICLOUD'           THEN 'm4becomadyen_apple.icloud'
        WHEN MERCHANT = 'APPLE'                                             THEN 'm4becomadyen_apple.others'
      ELSE SERVICE_CODE END AS SERVICE_CODE,
    NET_REV
FROM `momovn-prod.BU_ECOM.DLS_ALL_TRANS_V3_1`
WHERE MONTH &gt;= '2024-01-01' AND CATE = 'APPLICATION STORE'
)
GROUP BY 1,2</t>
  </si>
  <si>
    <t>SELECT DISTINCT
  CATE,
  MERCHANT, 
  SUB_MERCHANT
FROM
`momovn-prod.BU_ECOM.DLS_ALL_TRANS_V3_1`
WHERE CATE = 'APPLICATION STORE'</t>
  </si>
  <si>
    <t>SELECT *
FROM `momovn-prod.BU_ECOM.DLS_ALL_TRANS_V3_1`
WHERE DATE = "2024-10-10"
and cate = "LOGISTICS"
AND SUB_CATE = "TRANSPORT"
LIMIT 10</t>
  </si>
  <si>
    <t>SELECT *
FROM `momovn-prod.BU_ECOM.DLS_ALL_TRANS_V3_1`
WHERE DATE = "2024-10-10"
and CATE = "LOGISTICS"
AND UPPER(SERVICE_CODE) LIKE "%TRANSPORT$"
LIMIT 10</t>
  </si>
  <si>
    <t>SELECT *
FROM `momovn-prod.BU_ECOM.DLS_ALL_TRANS_V3_1`
WHERE DATE = "2024-10-10"
and CATE = "LOGISTICS"
AND UPPER(SERVICE_CODE) LIKE "%TRANSPORT%"
LIMIT 10</t>
  </si>
  <si>
    <t>SELECT DISTINCT
  CATE,
  MERCHANT, 
  SUB_MERCHANT
FROM
`momovn-prod.BU_ECOM.DLS_ALL_TRANS_V3_1`
WHERE CATE = 'APPLICATION STORE' AND MERCHANT = 'APPLE'</t>
  </si>
  <si>
    <t>SELECT DISTINCT AGE_GROUP
FROM `momovn-prod.BU_ECOM.DLS_ALL_TRANS_V3_1`
  WHERE MONTH &gt;= '2024-06-01' AND CATE IN ('LOGISTICS','ADS PAYMENT','APPLICATION STORE','MARKETPLACE','GAME','OTT','DIGITAL CONTENT')
  AND AGE_GROUP IN ('[4]. 27 - 30 y/o','[4].28-35')</t>
  </si>
  <si>
    <t>SELECT MONTH, 
AGE_GROUP,
COUNT(DISTINCT USER_ID)
  FROM `momovn-prod.BU_ECOM.DLS_ALL_TRANS_V3_1`
  WHERE MONTH = '2023-06-01' AND CATE IN ('LOGISTICS','ADS PAYMENT','APPLICATION STORE','MARKETPLACE','GAME','OTT','DIGITAL CONTENT')
GROUP BY 1,2
ORDER BY 2</t>
  </si>
  <si>
    <t>WITH CLEAN_DATA AS(
  SELECT 
  MONTH,
  USER_ID,
  CATE,
  AGE,
  AGE_GROUP, 
  -- CASE WHEN AGE_GROUP  LIKE "%&lt;18%" THEN '[1]. &lt;18 y/o'
  --   WHEN AGE_GROUP LIKE "%22%" THEN '[2]. 18 - 22 y/o'
  --   WHEN AGE_GROUP LIKE "%23%" THEN '[3]. 23 - 26 y/o'
  --   WHEN AGE_GROUP = '[4].28-35' THEN '[4]. 27 - 30 y/o'
  --   WHEN AGE_GROUP = '[4].28-35' THEN '[5]. 31 - 35 y/o'
  --   WHEN AGE_GROUP = '[5].36-50'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ELSE AGE
      END AS AGE_GROUP_NEW
  FROM `momovn-prod.BU_ECOM.DLS_ALL_TRANS_V3_1`
  WHERE MONTH = '2023-06-01' AND CATE IN ('LOGISTICS','ADS PAYMENT','APPLICATION STORE','MARKETPLACE','GAME','OTT','DIGITAL CONTENT')
)
  SELECT 
    MONTH, 
    AGE_GROUP_NEW,
    COUNT(DISTINCT USER_ID) AS MAU_DLS_ONLINE
  FROM CLEAN_DATA
  GROUP BY 1,2
  ORDER BY 2
  SELECT 
    AGE_GROUP, 
    COUNT(DISTINCT USER_ID)
  FROM `momovn-prod.BU_ECOM.DLS_ALL_TRANS_V3_1`
  WHERE MONTH = '2024-04-01' AND CATE IN ('LOGISTICS','ADS PAYMENT','APPLICATION STORE','MARKETPLACE','GAME','OTT','DIGITAL CONTENT')
  GROUP BY 1
  ORDER BY 1</t>
  </si>
  <si>
    <t>SELECT 
    AGE_GROUP, 
    COUNT(DISTINCT USER_ID)
  FROM `momovn-prod.BU_ECOM.DLS_ALL_TRANS_V3_1`
  WHERE MONTH = '2023-06-01' AND CATE IN ('LOGISTICS','ADS PAYMENT','APPLICATION STORE','MARKETPLACE','GAME','OTT','DIGITAL CONTENT')
  GROUP BY 1
  ORDER BY 1</t>
  </si>
  <si>
    <t>SELECT 
    AGE_GROUP, 
    COUNT(DISTINCT USER_ID)
  FROM `momovn-prod.BU_ECOM.DLS_ALL_TRANS_V3_1`
  WHERE MONTH = '2024-06-01' AND CATE IN ('LOGISTICS','ADS PAYMENT','APPLICATION STORE','MARKETPLACE','GAME','OTT','DIGITAL CONTENT')
  GROUP BY 1
  ORDER BY 1</t>
  </si>
  <si>
    <t xml:space="preserve">  SELECT 
    AGE_GROUP, 
    COUNT(DISTINCT USER_ID)
  FROM `momovn-prod.BU_ECOM.DLS_ALL_TRANS_V3_1`
  WHERE MONTH = '2023-06-01' AND CATE IN ('LOGISTICS','ADS PAYMENT','APPLICATION STORE','MARKETPLACE','GAME','OTT','DIGITAL CONTENT')
  GROUP BY 1
  ORDER BY 1</t>
  </si>
  <si>
    <t xml:space="preserve">  SELECT 
    AGE_GROUP, 
    COUNT(DISTINCT USER_ID)
  FROM `momovn-prod.BU_ECOM.DLS_ALL_TRANS_V3_1`
  WHERE MONTH = '2024-04-01' AND CATE IN ('LOGISTICS','ADS PAYMENT','APPLICATION STORE','MARKETPLACE','GAME','OTT','DIGITAL CONTENT')
  GROUP BY 1
  ORDER BY 1</t>
  </si>
  <si>
    <t xml:space="preserve">  SELECT 
    AGE_GROUP, 
    COUNT(DISTINCT USER_ID)
  FROM `momovn-prod.BU_ECOM.DLS_ALL_TRANS_V3_1`
  WHERE MONTH = '2024-05-01' AND CATE IN ('LOGISTICS','ADS PAYMENT','APPLICATION STORE','MARKETPLACE','GAME','OTT','DIGITAL CONTENT')
  GROUP BY 1
  ORDER BY 1</t>
  </si>
  <si>
    <t xml:space="preserve">  SELECT 
    AGE_GROUP, 
    COUNT(DISTINCT USER_ID)
  FROM `momovn-prod.BU_ECOM.DLS_ALL_TRANS_V3_1`
  WHERE MONTH = '2024-06-01' AND CATE IN ('LOGISTICS','ADS PAYMENT','APPLICATION STORE','MARKETPLACE','GAME','OTT','DIGITAL CONTENT')
  GROUP BY 1
  ORDER BY 1</t>
  </si>
  <si>
    <t>WITH CLEAN_DATA AS(
  SELECT 
  MONTH,
  USER_ID,
  CATE,
  MERCHANT,
  CASE WHEN SAFE_CAST(AGE AS INT64) &lt; 18 then '[1]. &lt;18'
        WHEN SAFE_CAST(AGE AS INT64) &gt;= 18 and SAFE_CAST(AGE AS INT64) &lt;= 22 then '[2]. 18-22'
        WHEN SAFE_CAST(AGE AS INT64) &gt;= 23 and SAFE_CAST(AGE AS INT64) &lt;= 27 then '[3]. 23-27'
        WHEN SAFE_CAST(AGE AS INT64) &gt;= 28 and SAFE_CAST(AGE AS INT64) &lt;= 35 then '[4]. 28-35'
        WHEN SAFE_CAST(AGE AS INT64) &gt;= 36 and SAFE_CAST(AGE AS INT64) &lt;= 50 then '[5]. 36-50'
        ELSE '[6]. &gt;50' END AS AGE_GROUP_NEW,
  FROM `momovn-prod.BU_ECOM.DLS_ALL_TRANS_V3_1`
  WHERE MONTH &gt;= '2023-01-01' 
)
 SELECT 
    MONTH, 
    AGE_GROUP_NEW,
    COUNT(DISTINCT IF(MERCHANT = 'TIKTOK SHOP',USER_ID,NULL)) AS MAU_TIKTOK_SHOP,
    COUNT(DISTINCT IF(MERCHANT = 'LAZADA',USER_ID,NULL)) AS MAU_LAZADA,
    COUNT(DISTINCT IF(MERCHANT LIKE '%GRAB%',USER_ID,NULL)) AS MAU_GRAB,
    COUNT(DISTINCT IF(MERCHANT = 'BE GROUP',USER_ID,NULL)) AS MAU_BE_GROUP,
    COUNT(DISTINCT IF(MERCHANT = 'GSM',USER_ID,NULL)) AS MAU_GSM,
    COUNT(DISTINCT IF(MERCHANT LIKE '%FUNTEK%',USER_ID,NULL)) AS MAU_GAME_CARD,
    COUNT(DISTINCT IF(CATE = 'GAME' AND MERCHANT NOT LIKE '%FUNTEK%',USER_ID,NULL)) AS MAU_GAME_PAYMENT,
    COUNT(DISTINCT IF(MERCHANT = 'GOOGLE' AND CATE = 'APPLICATION STORE',USER_ID,NULL)) AS MAU_GOOGLE,
    COUNT(DISTINCT IF(MERCHANT = 'APPLE' ,USER_ID,NULL)) AS MAU_APPLE,
    COUNT(DISTINCT IF(MERCHANT = 'VIETLOTT SMS' ,USER_ID,NULL)) AS MAU_VIETLOTT_SMS
  FROM CLEAN_DATA
  GROUP BY 1,2</t>
  </si>
  <si>
    <t>WITH CLEAN_DATA AS(
  SELECT 
  MONTH,
  USER_ID,
  CATE,
  MERCHANT,
  CASE WHEN SAFE_CAST(AGE AS INT64) &lt; 18 then '[1]. &lt;18'
        WHEN SAFE_CAST(AGE AS INT64) &gt;= 18 and SAFE_CAST(AGE AS INT64) &lt;= 22 then '[2]. 18-22'
        WHEN SAFE_CAST(AGE AS INT64) &gt;= 23 and SAFE_CAST(AGE AS INT64) &lt;= 27 then '[3]. 23-27'
        WHEN SAFE_CAST(AGE AS INT64) &gt;= 28 and SAFE_CAST(AGE AS INT64) &lt;= 35 then '[4]. 28-35'
        WHEN SAFE_CAST(AGE AS INT64) &gt;= 36 and SAFE_CAST(AGE AS INT64) &lt;= 50 then '[5]. 36-50'
        ELSE '[6]. &gt;50' END AS AGE_GROUP_NEW,
  FROM `momovn-prod.BU_ECOM.DLS_ALL_TRANS_V3_1`
  WHERE MONTH &gt;= '2023-01-01' 
)
 SELECT 
    MONTH, 
    AGE_GROUP_NEW,
    COUNT(DISTINCT IF(MERCHANT = 'TIKTOK SHOP',USER_ID,NULL)) AS MAU_TIKTOK_SHOP,
    COUNT(DISTINCT IF(MERCHANT = 'LAZADA',USER_ID,NULL)) AS MAU_LAZADA,
    COUNT(DISTINCT IF(MERCHANT LIKE '%GRAB%',USER_ID,NULL)) AS MAU_GRAB,
    COUNT(DISTINCT IF(MERCHANT = 'BE GROUP',USER_ID,NULL)) AS MAU_BE_GROUP,
    COUNT(DISTINCT IF(MERCHANT = 'GSM',USER_ID,NULL)) AS MAU_GSM,
    COUNT(DISTINCT IF(MERCHANT LIKE '%FUNTEK%',USER_ID,NULL)) AS MAU_GAME_CARD,
    COUNT(DISTINCT IF(CATE = 'GAME' AND MERCHANT NOT LIKE '%FUNTEK%',USER_ID,NULL)) AS MAU_GAME_PAYMENT,
    COUNT(DISTINCT IF(MERCHANT = 'GOOGLE' AND CATE = 'APPLICATION STORE',USER_ID,NULL)) AS MAU_GOOGLE,
    COUNT(DISTINCT IF(MERCHANT = 'APPLE' ,USER_ID,NULL)) AS MAU_APPLE,
    COUNT(DISTINCT IF(MERCHANT = 'VIETLOTT SMS' ,USER_ID,NULL)) AS MAU_VIETLOTT_SMS
  FROM CLEAN_DATA
  GROUP BY 1,2
  ORDER BY 1,2</t>
  </si>
  <si>
    <t>WITH CLEAN_DATA AS(
  SELECT 
  MONTH,
  USER_ID,
  CATE, 
  CASE WHEN AGE_GROUP  LIKE "%&lt;18%" THEN '[1]. &lt;18 y/o'
    WHEN AGE_GROUP LIKE "%22%" THEN '[2]. 18 - 22 y/o'
    WHEN AGE_GROUP LIKE "%23%" THEN '[3]. 23 - 26 y/o'
    WHEN AGE_GROUP = '[4].28-35' THEN '[4]. 27 - 30 y/o'
    WHEN AGE_GROUP = '[4].28-35' THEN '[5]. 31 - 35 y/o'
    WHEN AGE_GROUP = '[5].36-50'  THEN '[6]. 36 - 40 y/o'
    WHEN AGE_GROUP = '[6].&gt;50'  THEN '[7]. &gt;40 y/o'
    ELSE AGE_GROUP END AS AGE_GROUP_NEW
  -- CASE WHEN SAFE_CAST(AGE AS INT64) &lt; 18 THEN '[1]. &lt;18 y/o'
  --   WHEN SAFE_CAST(AGE AS INT64) &gt;= 18 AND SAFE_CAST(AGE AS INT64) &lt;= 22 THEN '[2]. 18 - 22 y/o'
  --   WHEN SAFE_CAST(AGE AS INT64) &gt;= 23 AND SAFE_CAST(AGE AS INT64) &lt;= 26 THEN '[3]. 23 - 26 y/o'
  --   WHEN SAFE_CAST(AGE AS INT64) &gt;= 27  AND SAFE_CAST(AGE AS INT64) &lt;= 30 THEN '[4]. 27 - 30 y/o'
  --   WHEN SAFE_CAST(AGE AS INT64) &gt;= 31 AND SAFE_CAST(AGE AS INT64) &lt;= 35 THEN '[5]. 31 - 35 y/o'
  --   WHEN SAFE_CAST(AGE AS INT64) &gt;= 36 AND SAFE_CAST(AGE AS INT64) &lt;= 40 THEN '[6]. 36 - 40 y/o'
  --   WHEN SAFE_CAST(AGE AS INT64) &gt; 40 THEN '[7]. &gt;40 y/o'
  --   WHEN SAFE_CAST(AGE AS INT64) IS NULL THEN 'UNKNOWN'
  --   ELSE 'others'
  --     END AS AGE_GROUP_NEW
  FROM `momovn-prod.BU_ECOM.DLS_ALL_TRANS_V3_1`
  WHERE MONTH = '2024-06-01' AND CATE IN ('LOGISTICS','ADS PAYMENT','APPLICATION STORE','MARKETPLACE','GAME','OTT','DIGITAL CONTENT')
)
  SELECT 
    MONTH, 
    AGE_GROUP_NEW,
    COUNT(DISTINCT USER_ID) AS MAU_DLS_ONLINE
  FROM CLEAN_DATA
  GROUP BY 1,2
  ORDER BY 2</t>
  </si>
  <si>
    <t>WITH CLEAN_DATA AS(
  SELECT 
  MONTH,
  USER_ID,
  CATE, 
  CASE WHEN AGE_GROUP  LIKE "%&lt;18%" THEN '[1]. &lt;18 y/o'
    WHEN AGE_GROUP LIKE "%22%" THEN '[2]. 18 - 22 y/o'
    WHEN AGE_GROUP LIKE "%23%" THEN '[3]. 23 - 26 y/o'
    WHEN AGE_GROUP = '[4].28-35' THEN '[4]. 27 - 30 y/o'
    WHEN AGE_GROUP = '[4].28-35' THEN '[5]. 31 - 35 y/o'
    WHEN AGE_GROUP = '[5]. 36 - 50 y/o' THEN '[6]. 36 - 40 y/o'
    WHEN AGE_GROUP = '[6].&gt;50'  THEN '[7]. &gt;40 y/o'
    ELSE AGE_GROUP END AS AGE_GROUP_NEW
  -- CASE WHEN SAFE_CAST(AGE AS INT64) &lt; 18 THEN '[1]. &lt;18 y/o'
  --   WHEN SAFE_CAST(AGE AS INT64) &gt;= 18 AND SAFE_CAST(AGE AS INT64) &lt;= 22 THEN '[2]. 18 - 22 y/o'
  --   WHEN SAFE_CAST(AGE AS INT64) &gt;= 23 AND SAFE_CAST(AGE AS INT64) &lt;= 26 THEN '[3]. 23 - 26 y/o'
  --   WHEN SAFE_CAST(AGE AS INT64) &gt;= 27  AND SAFE_CAST(AGE AS INT64) &lt;= 30 THEN '[4]. 27 - 30 y/o'
  --   WHEN SAFE_CAST(AGE AS INT64) &gt;= 31 AND SAFE_CAST(AGE AS INT64) &lt;= 35 THEN '[5]. 31 - 35 y/o'
  --   WHEN SAFE_CAST(AGE AS INT64) &gt;= 36 AND SAFE_CAST(AGE AS INT64) &lt;= 40 THEN '[6]. 36 - 40 y/o'
  --   WHEN SAFE_CAST(AGE AS INT64) &gt; 40 THEN '[7]. &gt;40 y/o'
  --   WHEN SAFE_CAST(AGE AS INT64) IS NULL THEN 'UNKNOWN'
  --   ELSE 'others'
  --     END AS AGE_GROUP_NEW
  FROM `momovn-prod.BU_ECOM.DLS_ALL_TRANS_V3_1`
  WHERE MONTH = '2024-06-01' AND CATE IN ('LOGISTICS','ADS PAYMENT','APPLICATION STORE','MARKETPLACE','GAME','OTT','DIGITAL CONTENT')
)
  SELECT 
    MONTH, 
    AGE_GROUP_NEW,
    COUNT(DISTINCT USER_ID) AS MAU_DLS_ONLINE
  FROM CLEAN_DATA
  GROUP BY 1,2
  ORDER BY 2</t>
  </si>
  <si>
    <t>WITH CLEAN_DATA AS(
  SELECT 
  MONTH,
  USER_ID,
  CATE,
  AGE_GROUP, 
  -- CASE WHEN AGE_GROUP  LIKE "%&lt;18%" THEN '[1]. &lt;18 y/o'
  --   WHEN AGE_GROUP LIKE "%22%" THEN '[2]. 18 - 22 y/o'
  --   WHEN AGE_GROUP LIKE "%23%" THEN '[3]. 23 - 26 y/o'
  --   WHEN AGE_GROUP = '[4].28-35' THEN '[4]. 27 - 30 y/o'
  --   WHEN AGE_GROUP = '[4].28-35' THEN '[5]. 31 - 35 y/o'
  --   WHEN AGE_GROUP = '[5].36-50'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WHEN SAFE_CAST(AGE AS INT64) IS NULL THEN 'UNKNOWN'
    ELSE 'others'
      END AS AGE_GROUP_NEW
  FROM `momovn-prod.BU_ECOM.DLS_ALL_TRANS_V3_1`
  WHERE MONTH = '2024-06-01' AND CATE IN ('LOGISTICS','ADS PAYMENT','APPLICATION STORE','MARKETPLACE','GAME','OTT','DIGITAL CONTENT')
)
  SELECT 
    MONTH, 
    AGE_GROUP_NEW,
    COUNT(DISTINCT USER_ID) AS MAU_DLS_ONLINE
  FROM CLEAN_DATA
  GROUP BY 1,2
  ORDER BY 2</t>
  </si>
  <si>
    <t xml:space="preserve">  SELECT DISTINCT CITY
  FROM `momovn-prod.BU_ECOM.DLS_ALL_TRANS_V3_1`
  WHERE MONTH &gt;= '2023-01-01' AND CATE IN ('LOGISTICS','ADS PAYMENT','APPLICATION STORE','MARKETPLACE','GAME','OTT','DIGITAL CONTENT')
  AND CITY IN ('Bắc Giang', 'Bắc Ninh', 'Hải Dương', 'Hải Phòng', 'Hưng Yên', 'Thái Nguyên')</t>
  </si>
  <si>
    <t>SELECT 
    DISTINCT MERCHANT
  FROM `momovn-prod.BU_ECOM.DLS_ALL_TRANS_V3_1`
  WHERE  MERCHANT IN ('TIKTOK SHOP','LAZADA','GRAB','BE GROUP','GSM','GAME CARD','GAME PAYMENT','GOOGLE','APPLE','VIETLOTT SMS')
  AND CATE IN ('LOGISTICS','ADS PAYMENT','APPLICATION STORE','MARKETPLACE','GAME','OTT','DIGITAL CONTENT')</t>
  </si>
  <si>
    <t>SELECT DISTINCT CATE
FROM `momovn-prod.BU_ECOM.DLS_ALL_TRANS_V3_1`</t>
  </si>
  <si>
    <t>nga.nguyen1@mservice.com.vn</t>
  </si>
  <si>
    <t xml:space="preserve">  SELECT 
  MONTH,
  USER_ID,
  CATE,
  AGE,
  AGE_GROUP, 
  -- CASE WHEN AGE_GROUP  LIKE "%&lt;18%" THEN '[1]. &lt;18 y/o'
  --   WHEN AGE_GROUP LIKE "%22%" THEN '[2]. 18 - 22 y/o'
  --   WHEN AGE_GROUP LIKE "%23%" THEN '[3]. 23 - 26 y/o'
  --   WHEN AGE_GROUP = '[4].28-35' THEN '[4]. 27 - 30 y/o'
  --   WHEN AGE_GROUP = '[4].28-35' THEN '[5]. 31 - 35 y/o'
  --   WHEN AGE_GROUP = '[5].36-50'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ELSE AGE
      END AS AGE_GROUP_NEW
  FROM `momovn-prod.BU_ECOM.DLS_ALL_TRANS_V3_1`
  WHERE MONTH = '2024-06-01' AND CATE IN ('LOGISTICS','ADS PAYMENT','APPLICATION STORE','MARKETPLACE','GAME','OTT','DIGITAL CONTENT')</t>
  </si>
  <si>
    <t xml:space="preserve">SELECT 
    DISTINCT MERCHANT
  FROM `momovn-prod.BU_ECOM.DLS_ALL_TRANS_V3_1`
  WHERE  MERCHANT IN ('TIKTOK SHOP','LAZADA','GRAB','BE GROUP','GSM','GAME CARD','GAME PAYMENT','GOOGLE','APPLE','VIETLOTT SMS')
SELECT 
    DISTINCT MERCHANT
  FROM `momovn-prod.BU_ECOM.DLS_ALL_TRANS_V3_1`
  WHERE  MERCHANT = "GSM" AND CATE = 'LOGISTICS'
</t>
  </si>
  <si>
    <t>SELECT DISTINCT CATE, MERCHANT
FROM `momovn-prod.BU_ECOM.DLS_ALL_TRANS_V3_1`
WHERE MERCHANT = 'GOOGLE'</t>
  </si>
  <si>
    <t>SELECT 
  MONTH, 
  MONEY_SOURCE_NAME,
  SUM(CASE WHEN CATE = 'LOGISTICS' THEN GMV END) AS GMV_LOGISTICS,
  SUM(CASE WHEN CATE = 'ADS PAYMENT' THEN GMV END) AS GMV_ADS_PAYMENT,
  SUM(CASE WHEN CATE = 'APPLICATION STORE' THEN GMV END) AS GMV_APPLICATION_STORE,
  SUM(CASE WHEN CATE = 'MARKETPLACE' THEN GMV END) AS GMV_MARKETPLACE,
  SUM(CASE WHEN CATE = 'GAME' THEN GMV END) AS GMV_GAME,
  SUM(CASE WHEN CATE = 'OTT' THEN GMV END) AS GMV_OTT,
  SUM(CASE WHEN CATE = 'DIGITAL CONTENT' THEN GMV END) AS MGMVDIGITAL_CONTENT
FROM `momovn-prod.BU_ECOM.DLS_ALL_TRANS_V3_1`
WHERE MONTH &gt;= '2023-01-01'
GROUP BY 1,2</t>
  </si>
  <si>
    <t xml:space="preserve">SELECT 
    DISTINCT MERCHANT
  FROM `momovn-prod.BU_ECOM.DLS_ALL_TRANS_V3_1`
  WHERE  MERCHANT IN ('TIKTOK SHOP','LAZADA','GRAB','BE GROUP','GSM','GAME CARD','GAME PAYMENT','GOOGLE','APPLE','VIETLOTT SMS')
SELECT 
    DISTINCT MERCHANT,
    CATE
  FROM `momovn-prod.BU_ECOM.DLS_ALL_TRANS_V3_1`
  WHERE  cate = 'game' or merchant not like "%FUNTEK%"
</t>
  </si>
  <si>
    <t>SELECT 
    DISTINCT MERCHANT
  FROM `momovn-prod.BU_ECOM.DLS_ALL_TRANS_V3_1`
  WHERE  MERCHANT LIKE "%BE%"</t>
  </si>
  <si>
    <t xml:space="preserve">
SELECT DISTINCT cate, MERCHANT
FROM `momovn-prod.BU_ECOM.DLS_ALL_TRANS_V3_1`
WHERE UPPER(merchant) LIKE '%GRAB%'</t>
  </si>
  <si>
    <t xml:space="preserve">  SELECT 
  MONTH,
  USER_ID,
  CATE,
  AGE_GROUP, 
  -- CASE WHEN AGE_GROUP  LIKE "%&lt;18%" THEN '[1]. &lt;18 y/o'
  --   WHEN AGE_GROUP LIKE "%22%" THEN '[2]. 18 - 22 y/o'
  --   WHEN AGE_GROUP LIKE "%23%" THEN '[3]. 23 - 26 y/o'
  --   WHEN AGE_GROUP = '[4].28-35' THEN '[4]. 27 - 30 y/o'
  --   WHEN AGE_GROUP = '[4].28-35' THEN '[5]. 31 - 35 y/o'
  --   WHEN AGE_GROUP = '[5].36-50'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WHEN AGE IS NULL THEN 'UNKNOWN'
    ELSE 'others'
      END AS AGE_GROUP_NEW
  FROM `momovn-prod.BU_ECOM.DLS_ALL_TRANS_V3_1`
  WHERE MONTH = '2024-06-01' AND CATE IN ('LOGISTICS','ADS PAYMENT','APPLICATION STORE','MARKETPLACE','GAME','OTT','DIGITAL CONTENT')</t>
  </si>
  <si>
    <t>SELECT 
  MONTH, 
  MONEY_SOURCE_NAME,
  SUM(CASE WHEN CATE = 'LOGISTICS' THEN GMV END) AS GMV_LOGISTICS,
  SUM(CASE WHEN CATE = 'ADS PAYMENT' THEN GMV END) AS GMV_ADS_PAYMENT,
  SUM(CASE WHEN CATE = 'APPLICATION STORE' THEN GMV END) AS GMV_APPLICATION_STORE,
  SUM(CASE WHEN CATE = 'MARKETPLACE' THEN GMV END) AS GMV_MARKETPLACE,
  SUM(CASE WHEN CATE = 'GAME' THEN GMV END) AS GMV_GAME,
  SUM(CASE WHEN CATE = 'OTT' THEN GMV END) AS GMV_OTT,
  SUM(CASE WHEN CATE = 'DIGITAL CONTENT' THEN GMV END) AS MGMVDIGITAL_CONTENT
FROM `momovn-prod.BU_ECOM.DLS_ALL_TRANS_V3_1`
WHERE MONTH &gt;= '2023-01-01'
GROUP BY 1,2
ORDER BY 1</t>
  </si>
  <si>
    <t>SELECT 
    DISTINCT MERCHANT
    CATE
  FROM `momovn-prod.BU_ECOM.DLS_ALL_TRANS_V3_1`
  WHERE  MERCHANT LIKE "%GAME%"</t>
  </si>
  <si>
    <t>SELECT 
    DISTINCT MERCHANT,
    CATE
  FROM `momovn-prod.BU_ECOM.DLS_ALL_TRANS_V3_1`
  WHERE  MERCHANT LIKE "%GAME%"</t>
  </si>
  <si>
    <t>SELECT 
    DISTINCT MERCHANT,
    CATE
  FROM `momovn-prod.BU_ECOM.DLS_ALL_TRANS_V3_1`
  WHERE  MERCHANT LIKE "FUNTEK"</t>
  </si>
  <si>
    <t>SELECT 
    DISTINCT MERCHANT.
    CATE
  FROM `momovn-prod.BU_ECOM.DLS_ALL_TRANS_V3_1`
  WHERE  MERCHANT LIKE "%GAME%"</t>
  </si>
  <si>
    <t xml:space="preserve">  SELECT 
  MONTH,
  USER_ID,
  CATE,
  AGE,
  AGE_GROUP, 
  -- CASE WHEN AGE_GROUP  LIKE "%&lt;18%" THEN '[1]. &lt;18 y/o'
  --   WHEN AGE_GROUP LIKE "%22%" THEN '[2]. 18 - 22 y/o'
  --   WHEN AGE_GROUP LIKE "%23%" THEN '[3]. 23 - 26 y/o'
  --   WHEN AGE_GROUP = '[4].28-35' THEN '[4]. 27 - 30 y/o'
  --   WHEN AGE_GROUP = '[4].28-35' THEN '[5]. 31 - 35 y/o'
  --   WHEN AGE_GROUP = '[5].36-50'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WHEN AGE IS NULL THEN 'UNKNOWN'
    ELSE 'others'
      END AS AGE_GROUP_NEW
  FROM `momovn-prod.BU_ECOM.DLS_ALL_TRANS_V3_1`
  WHERE MONTH = '2024-06-01' AND CATE IN ('LOGISTICS','ADS PAYMENT','APPLICATION STORE','MARKETPLACE','GAME','OTT','DIGITAL CONTENT')</t>
  </si>
  <si>
    <t xml:space="preserve">SELECT 
    DISTINCT MERCHANT,
    CATE
  FROM `momovn-prod.BU_ECOM.DLS_ALL_TRANS_V3_1`
  WHERE  MERCHANT = 'TIKTOK SHOP'
</t>
  </si>
  <si>
    <t xml:space="preserve">  SELECT 
  MONTH,
  USER_ID,
  CATE,
  AGE,
  AGE_GROUP, 
  -- CASE WHEN AGE_GROUP  LIKE "%&lt;18%" THEN '[1]. &lt;18 y/o'
  --   WHEN AGE_GROUP LIKE "%22%" THEN '[2]. 18 - 22 y/o'
  --   WHEN AGE_GROUP LIKE "%23%" THEN '[3]. 23 - 26 y/o'
  --   WHEN AGE_GROUP = '[4].28-35' THEN '[4]. 27 - 30 y/o'
  --   WHEN AGE_GROUP = '[4].28-35' THEN '[5]. 31 - 35 y/o'
  --   WHEN AGE_GROUP = '[5].36-50'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WHEN AGE IS NULL THEN 'UNKNOWN'
    ELSE 'others'
      END AS AGE_GROUP_NEW
  FROM `momovn-prod.BU_ECOM.DLS_ALL_TRANS_V3_1`
  WHERE MONTH = '2024-06-01' AND CATE IN ('LOGISTICS','ADS PAYMENT','APPLICATION STORE','MARKETPLACE','GAME','OTT','DIGITAL CONTENT')
)</t>
  </si>
  <si>
    <t xml:space="preserve">SELECT 
    DISTINCT MERCHANT
  FROM `momovn-prod.BU_ECOM.DLS_ALL_TRANS_V3_1`
  WHERE  MERCHANT = "GSM" AND CATE = 'LOGISTICS'
</t>
  </si>
  <si>
    <t xml:space="preserve">SELECT 
    DISTINCT MERCHANT
  FROM `momovn-prod.BU_ECOM.DLS_ALL_TRANS_V3_1`
  WHERE  MERCHANT LIKE "%GSM%" AND CATE = 'LOGISTICS'
</t>
  </si>
  <si>
    <t xml:space="preserve">
SELECT 
    DISTINCT MERCHANT
  FROM `momovn-prod.BU_ECOM.DLS_ALL_TRANS_V3_1`
  WHERE  MERCHANT LIKE "%BE%" AND CATE = 'LOGISTICS'
</t>
  </si>
  <si>
    <t xml:space="preserve">  SELECT 
  MONTH,
  USER_ID,
  CATE,
  AGE_GROUP, 
  -- CASE WHEN AGE_GROUP  LIKE "%&lt;18%" THEN '[1]. &lt;18 y/o'
  --   WHEN AGE_GROUP LIKE "%22%" THEN '[2]. 18 - 22 y/o'
  --   WHEN AGE_GROUP LIKE "%23%" THEN '[3]. 23 - 26 y/o'
  --   WHEN AGE_GROUP = '[4].28-35' THEN '[4]. 27 - 30 y/o'
  --   WHEN AGE_GROUP = '[4].28-35' THEN '[5]. 31 - 35 y/o'
  --   WHEN AGE_GROUP = '[5].36-50'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WHEN SAFE_CAST(AGE AS INT64) IS NULL THEN 'UNKNOWN'
    ELSE 'others'
      END AS AGE_GROUP_NEW
  FROM `momovn-prod.BU_ECOM.DLS_ALL_TRANS_V3_1`
  WHERE MONTH = '2024-06-01' AND CATE IN ('LOGISTICS','ADS PAYMENT','APPLICATION STORE','MARKETPLACE','GAME','OTT','DIGITAL CONTENT')</t>
  </si>
  <si>
    <t xml:space="preserve"> SELECT 
  MONTH,
  USER_ID,
  CATE,
  AGE_GROUP, 
  -- CASE WHEN AGE_GROUP  LIKE "%&lt;18%" THEN '[1]. &lt;18 y/o'
  --   WHEN AGE_GROUP LIKE "%22%" THEN '[2]. 18 - 22 y/o'
  --   WHEN AGE_GROUP LIKE "%23%" THEN '[3]. 23 - 26 y/o'
  --   WHEN AGE_GROUP = '[4].28-35' THEN '[4]. 27 - 30 y/o'
  --   WHEN AGE_GROUP = '[4].28-35' THEN '[5]. 31 - 35 y/o'
  --   WHEN AGE_GROUP = '[5].36-50'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WHEN SAFE_CAST(AGE AS INT64) IS NULL THEN 'UNKNOWN'
    ELSE 'others'
      END AS AGE_GROUP_NEW
  FROM `momovn-prod.BU_ECOM.DLS_ALL_TRANS_V3_1`
  WHERE MONTH = '2024-06-01' AND CATE IN ('LOGISTICS','ADS PAYMENT','APPLICATION STORE','MARKETPLACE','GAME','OTT','DIGITAL CONTENT')
)</t>
  </si>
  <si>
    <t xml:space="preserve">  SELECT 
  DISTINCT AGE_GROUP,
  CASE WHEN AGE_GROUP  LIKE "%&lt;18%" THEN '[1]. &lt;18 y/o'
    WHEN AGE_GROUP LIKE "%22%" THEN '[2]. 18 - 22 y/o'
    WHEN AGE_GROUP LIKE "%23%" THEN '[3]. 23 - 26 y/o'
    WHEN AGE_GROUP LIKE "%[4]%" THEN '[4]. 27 - 30 y/o'
    WHEN AGE_GROUP LIKE '%[5]%'THEN '[5]. 31 - 35 y/o'
    WHEN AGE_GROUP LIKE '%[6]%' THEN '[6]. 36 - 40 y/o'
    WHEN AGE_GROUP = '[7]. &gt;40 y/o' THEN '[7]. &gt;40 y/o'
    ELSE 'others' END AS AGE_GROUP_NEW
  FROM `momovn-prod.BU_ECOM.DLS_ALL_TRANS_V3_1`
  WHERE MONTH &gt;= '2024-05-01' AND CATE IN ('LOGISTICS','ADS PAYMENT','APPLICATION STORE','MARKETPLACE','GAME','OTT','DIGITAL CONTENT')</t>
  </si>
  <si>
    <t xml:space="preserve">SELECT
DISTINCT MERCHANT, CATE
FROM `momovn-prod.BU_ECOM.DLS_ALL_TRANS_V3_1`
WHERE MONTH &gt;= '2023-01-01' AND  MERCHANT LIKE '%TIKTOK SHOP%'
</t>
  </si>
  <si>
    <t>SELECT 
    DISTINCT MERCHANT,
    CATE
  FROM `momovn-prod.BU_ECOM.DLS_ALL_TRANS_V3_1`
  WHERE  cate = 'GAME' or merchant not like "%FUNTEK%"</t>
  </si>
  <si>
    <t>SELECT 
    DISTINCT MERCHANT,
    CATE
  FROM `momovn-prod.BU_ECOM.DLS_ALL_TRANS_V3_1`
  WHERE  cate = 'GAME' AND merchant not like "%FUNTEK%"</t>
  </si>
  <si>
    <t>SELECT 
    DISTINCT MERCHANT,
    CATE
  FROM `momovn-prod.BU_ECOM.DLS_ALL_TRANS_V3_1`
  WHERE  cate = 'game' and merchant not like "%FUNTEK%"</t>
  </si>
  <si>
    <t>SELECT 
  MONTH, 
  MONEY_SOURCE_NAME,
  CATE, 
  SUM(GMV)
FROM `momovn-prod.BU_ECOM.DLS_ALL_TRANS_V3_1`
WHERE MONTH &gt;= '2023-01-01'
GROUP BY 1,2,3</t>
  </si>
  <si>
    <t>SELECT
MONTH, 
COUNT(DISTINCT USER_ID) AS TOTAL
FROM `momovn-prod.BU_ECOM.DLS_ALL_TRANS_V3_1`
WHERE MONTH &gt;= '2023-01-01' AND MERCHANT = 'TITOK SHOP'
GROUP BY 1</t>
  </si>
  <si>
    <t>SELECT
MONTH, 
COUNT(DISTINCT USER_ID) AS TOTAL
FROM `momovn-prod.BU_ECOM.DLS_ALL_TRANS_V3_1`
WHERE MONTH &gt;= '2023-01-01' AND  MERCHANT = 'TIKTOK SHOP'
GROUP BY 1</t>
  </si>
  <si>
    <t xml:space="preserve">  SELECT 
  DISTINCT AGE_GROUP,
  CASE WHEN AGE_GROUP  LIKE "%&lt;18%" THEN '[1]. &lt;18 y/o'
    WHEN AGE_GROUP LIKE "%22%" THEN '[2]. 18 - 22 y/o'
    WHEN AGE_GROUP LIKE "%23%" THEN '[3]. 23 - 26 y/o'
    WHEN AGE_GROUP LIKE "%[4]%" THEN '[4]. 27 - 30 y/o'
    WHEN AGE_GROUP LIKE '%[5]%'THEN '[5]. 31 - 35 y/o'
    WHEN AGE_GROUP LIKE '%[6]%' THEN '[6]. 36 - 40 y/o'
    WHEN AGE_GROUP = '[7]. &gt;40 y/o' and AGE_GROUP = '[6].&gt;50'  THEN '[7]. &gt;40 y/o'
    ELSE 'others' END AS AGE_GROUP_NEW
  FROM `momovn-prod.BU_ECOM.DLS_ALL_TRANS_V3_1`
  WHERE MONTH &gt;= '2024-05-01' AND CATE IN ('LOGISTICS','ADS PAYMENT','APPLICATION STORE','MARKETPLACE','GAME','OTT','DIGITAL CONTENT')</t>
  </si>
  <si>
    <t xml:space="preserve"> SELECT 
    MONTH, 
    COUNT(DISTINCT IF(MERCHANT = 'TIKTOK SHOP',USER_ID,NULL)) AS MAU_TIKTOK_SHOP,
    COUNT(DISTINCT IF(MERCHANT = 'LAZADA',USER_ID,NULL)) AS MAU_LAZADA,
    COUNT(DISTINCT IF(MERCHANT LIKE '%GRAB%',USER_ID,NULL)) AS MAU_GRAB,
    COUNT(DISTINCT IF(MERCHANT = 'BE GROUP',USER_ID,NULL)) AS MAU_BE_GROUP,
    COUNT(DISTINCT IF(MERCHANT = 'GSM',USER_ID,NULL)) AS MAU_GSM,
    COUNT(DISTINCT IF(MERCHANT LIKE '%FUNTEK%',USER_ID,NULL)) AS MAU_GAME_CARD,
    COUNT(DISTINCT IF(CATE = 'GAME' AND MERCHANT NOT LIKE '%FUNTEK%',USER_ID,NULL)) AS MAU_GAME_PAYMENT,
    COUNT(DISTINCT IF(MERCHANT = 'GOOGLE' AND CATE = 'APPLICATION STORE',USER_ID,NULL)) AS MAU_GOOGLE,
    COUNT(DISTINCT IF(MERCHANT = 'APPLE' ,USER_ID,NULL)) AS MAU_APPLE,
    COUNT(DISTINCT IF(MERCHANT = 'VIETLOTT SMS' ,USER_ID,NULL)) AS MAU_VIETLOTT_SMS
  FROM `momovn-prod.BU_ECOM.DLS_ALL_TRANS_V3_1`
  WHERE MONTH &gt;= '2023-01-01'
  GROUP BY 1</t>
  </si>
  <si>
    <t xml:space="preserve"> SELECT 
    MONTH, 
    COUNT(DISTINCT IF(MERCHANT = 'TIKTOK SHOP',USER_ID,NULL)) AS MAU_TIKTOK_SHOP,
    COUNT(DISTINCT IF(MERCHANT = 'LAZADA',USER_ID,NULL)) AS MAU_LAZADA,
    COUNT(DISTINCT IF(MERCHANT LIKE '%GRAB%',USER_ID,NULL)) AS MAU_GRAB,
    COUNT(DISTINCT IF(MERCHANT = 'BE GROUP',USER_ID,NULL)) AS MAU_BE_GROUP,
    COUNT(DISTINCT IF(MERCHANT = 'GSM',USER_ID,NULL)) AS MAU_GSM,
    COUNT(DISTINCT IF(MERCHANT LIKE '%FUNTEK%',USER_ID,NULL)) AS MAU_GAME_CARD,
    COUNT(DISTINCT IF(CATE = 'GAME' AND MERCHANT NOT LIKE '%FUNTEK%',USER_ID,NULL)) AS MAU_GAME_PAYMENT,
    COUNT(DISTINCT IF(MERCHANT = 'GOOGLE' AND CATE = 'APPLICATION STORE',USER_ID,NULL)) AS MAU_GOOGLE,
    COUNT(DISTINCT IF(MERCHANT = 'APPLE' ,USER_ID,NULL)) AS MAU_APPLE,
    COUNT(DISTINCT IF(MERCHANT = 'VIETLOTT SMS' ,USER_ID,NULL)) AS MAU_VIETLOTT_SMS
  FROM `momovn-prod.BU_ECOM.DLS_ALL_TRANS_V3_1`
  WHERE MONTH &gt;= '2023-01-01'
  GROUP BY 1
  ORDER BY 1</t>
  </si>
  <si>
    <t xml:space="preserve">  SELECT 
  DISTINCT AGE_GROUP,
  CASE WHEN AGE_GROUP  LIKE "%&lt;18%" THEN '[1]. &lt;18 y/o'
    WHEN AGE_GROUP LIKE "%22%" THEN '[2]. 18 - 22 y/o'
    WHEN AGE_GROUP LIKE "%23%" THEN '[3]. 23 - 26 y/o'
    WHEN AGE_GROUP LIKE "%[4]%" THEN '[4]. 27 - 30 y/o'
    WHEN AGE_GROUP LIKE '%[5]%'THEN '[5]. 31 - 35 y/o'
    WHEN AGE_GROUP LIKE '%[6]%' THEN '[6]. 36 - 40 y/o'
    WHEN AGE_GROUP = '[7]. &gt;40 y/o' and AGE_GROUP = '[6].&gt;50'  THEN '[7]. &gt;40 y/o'
    ELSE 'others' END AS AGE_GROUP_NEW
  FROM `momovn-prod.BU_ECOM.DLS_ALL_TRANS_V3_1`
  WHERE MONTH &gt;= '2024-05-01' AND CATE IN ('LOGISTICS','ADS PAYMENT','APPLICATION STORE','MARKETPLACE','GAME','OTT','DIGITAL CONTENT')
  order by 1,2</t>
  </si>
  <si>
    <t xml:space="preserve">  SELECT 
  DISTINCT AGE_GROUP,
  CASE WHEN AGE_GROUP  LIKE "%&lt;18%" THEN '[1]. &lt;18 y/o'
    WHEN AGE_GROUP LIKE "%22%" THEN '[2]. 18 - 22 y/o'
    WHEN AGE_GROUP LIKE "%23%" THEN '[3]. 23 - 26 y/o'
    WHEN AGE_GROUP LIKE "%[4]%" THEN '[4]. 27 - 30 y/o'
    WHEN AGE_GROUP LIKE '%[5]%'THEN '[5]. 31 - 35 y/o'
    WHEN AGE_GROUP LIKE '%[6]%' THEN '[6]. 36 - 40 y/o'
    WHEN AGE_GROUP = '[7]. &gt;40 y/o' and AGE_GROUP = '[6].&gt;50'  THEN '[7]. &gt;40 y/o'
    ELSE AGE_GROUP END AS AGE_GROUP_NEW
  FROM `momovn-prod.BU_ECOM.DLS_ALL_TRANS_V3_1`
  WHERE MONTH &gt;= '2024-05-01' AND CATE IN ('LOGISTICS','ADS PAYMENT','APPLICATION STORE','MARKETPLACE','GAME','OTT','DIGITAL CONTENT')
  order by 1,2</t>
  </si>
  <si>
    <t>WITH CLEAN_DATA AS(
  SELECT 
  MONTH,
  USER_ID,
  CATE, 
  MERCHANT, 
  CASE
    WHEN CITY = 'Hồ Chí Minh' then 'HCM'
    WHEN CITY = 'Hà Nội' then 'HaNoi'
    WHEN CITY IN ('Bắc Giang', 'Bắc Ninh', 'Hải Dương', 'Hải Phòng', 'Hưng Yên', 'Thái Nguyên') THEN 'KCN MB'
    WHEN CITY IN ('Bà Rịa - Vũng Tàu', 'Bình Dương', 'Bình Phước', 'Đồng Nai', 'Long An', 'Tây Ninh') THEN 'KCN MN'
    ELSE 'Other' END AS CITY_SEGMENT
  FROM `momovn-prod.BU_ECOM.DLS_ALL_TRANS_V3_1`
  WHERE MONTH &gt;= '2023-01-01' 
)
  SELECT 
    MONTH, 
    CITY_SEGMENT,
    COUNT(DISTINCT IF(MERCHANT = 'TIKTOK SHOP',USER_ID,NULL)) AS MAU_TIKTOK_SHOP,
    COUNT(DISTINCT IF(MERCHANT = 'LAZADA',USER_ID,NULL)) AS MAU_LAZADA,
    COUNT(DISTINCT IF(MERCHANT LIKE '%GRAB%',USER_ID,NULL)) AS MAU_GRAB,
    COUNT(DISTINCT IF(MERCHANT = 'BE GROUP',USER_ID,NULL)) AS MAU_BE_GROUP,
    COUNT(DISTINCT IF(MERCHANT = 'GSM',USER_ID,NULL)) AS MAU_GSM,
    COUNT(DISTINCT IF(MERCHANT LIKE '%FUNTEK%',USER_ID,NULL)) AS MAU_GAME_CARD,
    COUNT(DISTINCT IF(CATE = 'GAME' AND MERCHANT NOT LIKE '%FUNTEK%',USER_ID,NULL)) AS MAU_GAME_PAYMENT,
    COUNT(DISTINCT IF(MERCHANT = 'GOOGLE' AND CATE = 'APPLICATION STORE',USER_ID,NULL)) AS MAU_GOOGLE,
    COUNT(DISTINCT IF(MERCHANT = 'APPLE' ,USER_ID,NULL)) AS MAU_APPLE,
    COUNT(DISTINCT IF(MERCHANT = 'VIETLOTT SMS' ,USER_ID,NULL)) AS MAU_VIETLOTT_SMS
  FROM CLEAN_DATA
  GROUP BY 1,2
  ORDER BY 1,2</t>
  </si>
  <si>
    <t xml:space="preserve">  SELECT 
  DISTINCT AGE_GROUP,
  CASE WHEN AGE_GROUP  LIKE "%&lt;18%" THEN '[1]. &lt;18 y/o'
    WHEN AGE_GROUP LIKE "%22%" THEN '[2]. 18 - 22 y/o'
    WHEN AGE_GROUP LIKE "%23%" THEN '[3]. 23 - 26 y/o'
    WHEN AGE_GROUP LIKE "%[4]%" THEN '[4]. 27 - 30 y/o'
    WHEN AGE_GROUP LIKE '%[5]%'THEN '[5]. 31 - 35 y/o'
    WHEN AGE_GROUP = '[6]. 36 - 40 y/o' THEN '[6]. 36 - 40 y/o'
    WHEN AGE_GROUP = '[7]. &gt;40 y/o' and AGE_GROUP = '[6].&gt;50'  THEN '[7]. &gt;40 y/o'
    ELSE AGE_GROUP END AS AGE_GROUP_NEW
  FROM `momovn-prod.BU_ECOM.DLS_ALL_TRANS_V3_1`
  WHERE MONTH &gt;= '2024-05-01' AND CATE IN ('LOGISTICS','ADS PAYMENT','APPLICATION STORE','MARKETPLACE','GAME','OTT','DIGITAL CONTENT')
  order by 1,2</t>
  </si>
  <si>
    <t>SELECT COUNT(DISTINCT order_id)
FROM `momovn-prod.BU_ECOM.DLS_ALL_TRANS_V3_1`
WHERE 1=1
  AND date BETWEEN '2024-07-01' AND '2024-10-14'
  AND cate = 'LOGISTICS'
  AND merchant = 'GRAB-ENDUSER'</t>
  </si>
  <si>
    <t>SELECT 
MONTH, 
MERCHANT, 
COUNT(DISTINCT USER_ID)
 FROM `momovn-prod.BU_ECOM.DLS_ALL_TRANS_V3_1`
  WHERE MONTH &gt;= '2023-01-01' AND MERCHANT IN ('FUNTEK','BE GROUP') 
  GROUP BY 1,2
  ORDER BY 1</t>
  </si>
  <si>
    <t>SELECT 
    DISTINCT MERCHANT
  FROM `momovn-prod.BU_ECOM.DLS_ALL_TRANS_V3_1`
  WHERE  MERCHANT IN ('TIKTOK SHOP','LAZADA','GRAB','BE','GSM','GAME CARD','GAME PAYMENT','GOOGLE','APPLE','VIETLOTT SMS')</t>
  </si>
  <si>
    <t xml:space="preserve">SELECT  MONTH, AGE_GROUP
  FROM `momovn-prod.BU_ECOM.DLS_ALL_TRANS_V3_1`
  WHERE MONTH &gt;= '2024-03-01' AND CATE IN ('LOGISTICS','ADS PAYMENT','APPLICATION STORE','MARKETPLACE','GAME','OTT','DIGITAL CONTENT')
</t>
  </si>
  <si>
    <t xml:space="preserve">SELECT 
    DISTINCT MERCHANT
  FROM `momovn-prod.BU_ECOM.DLS_ALL_TRANS_V3_1`
  WHERE  MERCHANT IN ('TIKTOK SHOP','LAZADA','GRAB','BE-GROUP','GSM','GAME CARD','GAME PAYMENT','GOOGLE','APPLE','VIETLOTT SMS')
</t>
  </si>
  <si>
    <t xml:space="preserve">SELECT DISTINCT AGE_GROUP 
  FROM `momovn-prod.BU_ECOM.DLS_ALL_TRANS_V3_1`
  WHERE MONTH &gt;= '2023-01-01' AND CATE IN ('LOGISTICS','ADS PAYMENT','APPLICATION STORE','MARKETPLACE','GAME','OTT','DIGITAL CONTENT')
</t>
  </si>
  <si>
    <t xml:space="preserve">SELECT 
    DISTINCT MERCHANT
  FROM `momovn-prod.BU_ECOM.DLS_ALL_TRANS_V3_1`
  WHERE  MERCHANT IN ('TIKTOK SHOP','LAZADA','GRAB','BE GROUP','GSM','GAME CARD','GAME PAYMENT','GOOGLE','APPLE','VIETLOTT SMS')
</t>
  </si>
  <si>
    <t>WITH CLEAN_DATA AS(
  SELECT 
  MONTH,
  USER_ID,
  CATE, 
  -- CASE WHEN AGE_GROUP  LIKE "%&lt;18%" THEN '[1]. &lt;18 y/o'
  --   WHEN AGE_GROUP LIKE "%22%" THEN '[2]. 18 - 22 y/o'
  --   WHEN AGE_GROUP LIKE "%23%" THEN '[3]. 23 - 26 y/o'
  --   WHEN AGE_GROUP = '[4].28-35' THEN '[5]. 31 - 35 y/o'
  --   WHEN AGE_GROUP = '[5]. 36 - 50 y/o'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WHEN SAFE_CAST(AGE AS INT64) IS NULL THEN 'UNKNOWN'
    ELSE 'others'
      END AS AGE_GROUP_NEW
  FROM `momovn-prod.BU_ECOM.DLS_ALL_TRANS_V3_1`
  WHERE MONTH = '2023-06-01' AND CATE IN ('LOGISTICS','ADS PAYMENT','APPLICATION STORE','MARKETPLACE','GAME','OTT','DIGITAL CONTENT')
)
  SELECT 
    MONTH, 
    AGE_GROUP_NEW,
    COUNT(DISTINCT USER_ID) AS MAU_DLS_ONLINE
  FROM CLEAN_DATA
  GROUP BY 1,2</t>
  </si>
  <si>
    <t xml:space="preserve">SELECT DISTINCT MONTH, AGE_GROUP
  FROM `momovn-prod.BU_ECOM.DLS_ALL_TRANS_V3_1`
  WHERE MONTH &gt;= '2024-03-01' AND CATE IN ('LOGISTICS','ADS PAYMENT','APPLICATION STORE','MARKETPLACE','GAME','OTT','DIGITAL CONTENT')
</t>
  </si>
  <si>
    <t>SELECT DISTINCT AGE_GROUP 
  FROM `momovn-prod.BU_ECOM.DLS_ALL_TRANS_V3_1`
  WHERE MONTH &gt;= '2023-01-01' AND CATE IN ('LOGISTICS','ADS PAYMENT','APPLICATION STORE','MARKETPLACE','GAME','OTT','DIGITAL CONTENT')
ORDER BY 1</t>
  </si>
  <si>
    <t>WITH CLEAN_DATA AS(
  SELECT 
  MONTH,
  USER_ID,
  CATE, 
  CASE WHEN AGE_GROUP  LIKE "%&lt;18%" THEN '[1]. &lt;18 y/o'
    WHEN AGE_GROUP LIKE "%22%" THEN '[2]. 18 - 22 y/o'
    WHEN AGE_GROUP LIKE "%23%" THEN '[3]. 23 - 26 y/o'
    WHEN AGE_GROUP = '[4].28-35' THEN '[5]. 31 - 35 y/o'
    WHEN AGE_GROUP = '[5]. 36 - 50 y/o' THEN '[6]. 36 - 40 y/o'
    WHEN AGE_GROUP = '[6].&gt;50'  THEN '[7]. &gt;40 y/o'
    ELSE AGE_GROUP END AS AGE_GROUP_NEW
  -- CASE WHEN SAFE_CAST(AGE AS INT64) &lt; 18 THEN '[1]. &lt;18 y/o'
  --   WHEN SAFE_CAST(AGE AS INT64) &gt;= 18 AND SAFE_CAST(AGE AS INT64) &lt;= 22 THEN '[2]. 18 - 22 y/o'
  --   WHEN SAFE_CAST(AGE AS INT64) &gt;= 23 AND SAFE_CAST(AGE AS INT64) &lt;= 26 THEN '[3]. 23 - 26 y/o'
  --   WHEN SAFE_CAST(AGE AS INT64) &gt;= 27  AND SAFE_CAST(AGE AS INT64) &lt;= 30 THEN '[4]. 27 - 30 y/o'
  --   WHEN SAFE_CAST(AGE AS INT64) &gt;= 31 AND SAFE_CAST(AGE AS INT64) &lt;= 35 THEN '[5]. 31 - 35 y/o'
  --   WHEN SAFE_CAST(AGE AS INT64) &gt;= 36 AND SAFE_CAST(AGE AS INT64) &lt;= 40 THEN '[6]. 36 - 40 y/o'
  --   WHEN SAFE_CAST(AGE AS INT64) &gt; 40 THEN '[7]. &gt;40 y/o'
  --   WHEN SAFE_CAST(AGE AS INT64) IS NULL THEN 'UNKNOWN'
  --   ELSE 'others'
  --     END AS AGE_GROUP_NEW
  FROM `momovn-prod.BU_ECOM.DLS_ALL_TRANS_V3_1`
  WHERE MONTH = '2023-06-01' AND CATE IN ('LOGISTICS','ADS PAYMENT','APPLICATION STORE','MARKETPLACE','GAME','OTT','DIGITAL CONTENT')
)
  SELECT 
    MONTH, 
    AGE_GROUP_NEW,
    COUNT(DISTINCT USER_ID) AS MAU_DLS_ONLINE
  FROM CLEAN_DATA
  GROUP BY 1,2</t>
  </si>
  <si>
    <t>SELECT 
MONTH, 
MERCHANT, 
COUNT(DISTINCT USER_ID)
 FROM `momovn-prod.BU_ECOM.DLS_ALL_TRANS_V3_1`
  WHERE MONTH = '2024-05-01' AND MERCHANT = 'FUNTEK' AND CATE = 'GAME' AND CITY = 'Hồ Chí Minh'
  GROUP BY 1,2
  ORDER BY 1</t>
  </si>
  <si>
    <t>WITH CLEAN_DATA AS(
  SELECT 
  MONTH,
  USER_ID,
  CATE, 
  -- CASE WHEN AGE_GROUP  LIKE "%&lt;18%" THEN '[1]. &lt;18 y/o'
  --   WHEN AGE_GROUP LIKE "%22%" THEN '[2]. 18 - 22 y/o'
  --   WHEN AGE_GROUP LIKE "%23%" THEN '[3]. 23 - 26 y/o'
  --   WHEN AGE_GROUP = '[4].28-35' THEN '[5]. 31 - 35 y/o'
  --   WHEN AGE_GROUP = '[5]. 36 - 50 y/o'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WHEN SAFE_CAST(AGE AS INT64) IS NULL THEN 'UNKNOWN'
    ELSE 'others'
      END AS AGE_GROUP_NEW
  FROM `momovn-prod.BU_ECOM.DLS_ALL_TRANS_V3_1`
  WHERE MONTH = '2024-06-01' AND CATE IN ('LOGISTICS','ADS PAYMENT','APPLICATION STORE','MARKETPLACE','GAME','OTT','DIGITAL CONTENT')
)
  SELECT 
    MONTH, 
    AGE_GROUP_NEW,
    COUNT(DISTINCT USER_ID) AS MAU_DLS_ONLINE
  FROM CLEAN_DATA
  GROUP BY 1,2
  ORDER BY 2</t>
  </si>
  <si>
    <t xml:space="preserve">SELECT DISTINCT MONTH, AGE_GROUP
  FROM `momovn-prod.BU_ECOM.DLS_ALL_TRANS_V3_1`
  WHERE MONTH &gt;= '2024-03-01' AND CATE IN ('LOGISTICS','ADS PAYMENT','APPLICATION STORE','MARKETPLACE','GAME','OTT','DIGITAL CONTENT')
  ORDER BY 1,2
</t>
  </si>
  <si>
    <t>SELECT DISTINCT AGE_GROUP
FROM `momovn-prod.BU_ECOM.DLS_ALL_TRANS_V3_1`
  WHERE MONTH &gt;= '2023-01-01' AND CATE IN ('LOGISTICS','ADS PAYMENT','APPLICATION STORE','MARKETPLACE','GAME','OTT','DIGITAL CONTENT')
  AND AGE_GROUP = 'others'</t>
  </si>
  <si>
    <t>SELECT DISTINCT AGE_GROUP
FROM `momovn-prod.BU_ECOM.DLS_ALL_TRANS_V3_1`
  WHERE MONTH &gt;= '2024-06-01' AND CATE IN ('LOGISTICS','ADS PAYMENT','APPLICATION STORE','MARKETPLACE','GAME','OTT','DIGITAL CONTENT')
  AND AGE_GROUP LIKE "%18"</t>
  </si>
  <si>
    <t>SELECT DISTINCT AGE_GROUP
FROM `momovn-prod.BU_ECOM.DLS_ALL_TRANS_V3_1`
  WHERE MONTH &gt;= '2024-06-01' AND CATE IN ('LOGISTICS','ADS PAYMENT','APPLICATION STORE','MARKETPLACE','GAME','OTT','DIGITAL CONTENT')
  AND AGE_GROUP LIKE "%22%"</t>
  </si>
  <si>
    <t>SELECT DISTINCT AGE_GROUP
FROM `momovn-prod.BU_ECOM.DLS_ALL_TRANS_V3_1`
  WHERE MONTH &gt;= '2024-06-01' AND CATE IN ('LOGISTICS','ADS PAYMENT','APPLICATION STORE','MARKETPLACE','GAME','OTT','DIGITAL CONTENT')
  AND AGE_GROUP LIKE "%23%"</t>
  </si>
  <si>
    <t>SELECT DISTINCT AGE_GROUP
FROM `momovn-prod.BU_ECOM.DLS_ALL_TRANS_V3_1`
  WHERE MONTH &gt;= '2023-01-01' AND CATE IN ('LOGISTICS','ADS PAYMENT','APPLICATION STORE','MARKETPLACE','GAME','OTT','DIGITAL CONTENT')
  AND AGE_GROUP LIKE "%[4]%"</t>
  </si>
  <si>
    <t>SELECT DISTINCT AGE_GROUP
FROM `momovn-prod.BU_ECOM.DLS_ALL_TRANS_V3_1`
  WHERE MONTH &gt;= '2024-06-01' AND CATE IN ('LOGISTICS','ADS PAYMENT','APPLICATION STORE','MARKETPLACE','GAME','OTT','DIGITAL CONTENT')
  AND AGE_GROUP LIKE "%&lt;18%"</t>
  </si>
  <si>
    <t>SELECT DISTINCT AGE_GROUP
FROM `momovn-prod.BU_ECOM.DLS_ALL_TRANS_V3_1`
  WHERE MONTH &gt;= '2024-06-01' AND CATE IN ('LOGISTICS','ADS PAYMENT','APPLICATION STORE','MARKETPLACE','GAME','OTT','DIGITAL CONTENT')
  AND AGE_GROUP LIKE "%[4]%"</t>
  </si>
  <si>
    <t>SELECT DISTINCT AGE_GROUP
FROM `momovn-prod.BU_ECOM.DLS_ALL_TRANS_V3_1`
  WHERE MONTH &gt;= '2023-01-01' AND CATE IN ('LOGISTICS','ADS PAYMENT','APPLICATION STORE','MARKETPLACE','GAME','OTT','DIGITAL CONTENT')
  AND AGE_GROUP  LIKE '%[5]%'</t>
  </si>
  <si>
    <t>SELECT  MONTH, AGE_GROUP
  FROM `momovn-prod.BU_ECOM.DLS_ALL_TRANS_V3_1`
  WHERE MONTH &gt;= '2024-03-01' AND CATE IN ('LOGISTICS','ADS PAYMENT','APPLICATION STORE','MARKETPLACE','GAME','OTT','DIGITAL CONTENT')
  AND AGE_GROUP LIKE  '%[7]%'</t>
  </si>
  <si>
    <t>SELECT DISTINCT AGE_GROUP
  FROM `momovn-prod.BU_ECOM.DLS_ALL_TRANS_V3_1`
  WHERE MONTH &gt;= '2024-03-01' AND CATE IN ('LOGISTICS','ADS PAYMENT','APPLICATION STORE','MARKETPLACE','GAME','OTT','DIGITAL CONTENT')
  AND AGE_GROUP LIKE  '%[7]%'</t>
  </si>
  <si>
    <t>SELECT DISTINCT AGE_GROUP
  FROM `momovn-prod.BU_ECOM.DLS_ALL_TRANS_V3_1`
  WHERE MONTH &gt;= '2024-06-01' AND CATE IN ('LOGISTICS','ADS PAYMENT','APPLICATION STORE','MARKETPLACE','GAME','OTT','DIGITAL CONTENT')
  AND AGE_GROUP LIKE  '%[7]%'</t>
  </si>
  <si>
    <t>WITH CLEAN_DATA AS(
  SELECT 
  MONTH,
  USER_ID,
  CATE, 
  CASE WHEN AGE_GROUP  LIKE "%&lt;18%" THEN '[1]. &lt;18 y/o'
    WHEN AGE_GROUP LIKE "%22%" THEN '[2]. 18 - 22 y/o'
    WHEN AGE_GROUP LIKE "%23%" THEN '[3]. 23 - 26 y/o'
    WHEN AGE_GROUP = '[4].28-35' THEN '[5]. 31 - 35 y/o'
    WHEN AGE_GROUP = '[5]. 36 - 50 y/o' THEN '[6]. 36 - 40 y/o'
    WHEN AGE_GROUP = '[6].&gt;50'  THEN '[7]. &gt;40 y/o'
    ELSE AGE_GROUP END AS AGE_GROUP_NEW
  -- CASE WHEN SAFE_CAST(AGE AS INT64) &lt; 18 THEN '[1]. &lt;18 y/o'
  --   WHEN SAFE_CAST(AGE AS INT64) &gt;= 18 AND SAFE_CAST(AGE AS INT64) &lt;= 22 THEN '[2]. 18 - 22 y/o'
  --   WHEN SAFE_CAST(AGE AS INT64) &gt;= 23 AND SAFE_CAST(AGE AS INT64) &lt;= 26 THEN '[3]. 23 - 26 y/o'
  --   WHEN SAFE_CAST(AGE AS INT64) &gt;= 27  AND SAFE_CAST(AGE AS INT64) &lt;= 30 THEN '[4]. 27 - 30 y/o'
  --   WHEN SAFE_CAST(AGE AS INT64) &gt;= 31 AND SAFE_CAST(AGE AS INT64) &lt;= 35 THEN '[5]. 31 - 35 y/o'
  --   WHEN SAFE_CAST(AGE AS INT64) &gt;= 36 AND SAFE_CAST(AGE AS INT64) &lt;= 40 THEN '[6]. 36 - 40 y/o'
  --   WHEN SAFE_CAST(AGE AS INT64) &gt; 40 THEN '[7]. &gt;40 y/o'
  --   WHEN SAFE_CAST(AGE AS INT64) IS NULL THEN 'UNKNOWN'
  --   ELSE 'others'
  --     END AS AGE_GROUP_NEW
  FROM `momovn-prod.BU_ECOM.DLS_ALL_TRANS_V3_1`
  WHERE MONTH = '2023-06-01' AND CATE IN ('LOGISTICS','ADS PAYMENT','APPLICATION STORE','MARKETPLACE','GAME','OTT','DIGITAL CONTENT')
)
  SELECT 
    MONTH, 
    AGE_GROUP_NEW,
    COUNT(DISTINCT USER_ID) AS MAU_DLS_ONLINE
  FROM CLEAN_DATA
  GROUP BY 1,2
  ORDER BY 2</t>
  </si>
  <si>
    <t>WITH CLEAN_DATA AS(
  SELECT 
  MONTH,
  USER_ID,
  CATE, 
  CASE WHEN AGE_GROUP  LIKE "%&lt;18%" THEN '[1]. &lt;18 y/o'
    WHEN AGE_GROUP LIKE "%22%" THEN '[2]. 18 - 22 y/o'
    WHEN AGE_GROUP LIKE "%23%" THEN '[3]. 23 - 26 y/o'
    WHEN AGE_GROUP = '[4].28-35' THEN '[5]. 31 - 35 y/o'
    WHEN AGE_GROUP = '[5]. 36 - 50 y/o' THEN '[6]. 36 - 40 y/o'
    WHEN AGE_GROUP = '[6].&gt;50'  THEN '[7]. &gt;40 y/o'
    ELSE AGE_GROUP END AS AGE_GROUP_NEW
  -- CASE WHEN SAFE_CAST(AGE AS INT64) &lt; 18 THEN '[1]. &lt;18 y/o'
  --   WHEN SAFE_CAST(AGE AS INT64) &gt;= 18 AND SAFE_CAST(AGE AS INT64) &lt;= 22 THEN '[2]. 18 - 22 y/o'
  --   WHEN SAFE_CAST(AGE AS INT64) &gt;= 23 AND SAFE_CAST(AGE AS INT64) &lt;= 26 THEN '[3]. 23 - 26 y/o'
  --   WHEN SAFE_CAST(AGE AS INT64) &gt;= 27  AND SAFE_CAST(AGE AS INT64) &lt;= 30 THEN '[4]. 27 - 30 y/o'
  --   WHEN SAFE_CAST(AGE AS INT64) &gt;= 31 AND SAFE_CAST(AGE AS INT64) &lt;= 35 THEN '[5]. 31 - 35 y/o'
  --   WHEN SAFE_CAST(AGE AS INT64) &gt;= 36 AND SAFE_CAST(AGE AS INT64) &lt;= 40 THEN '[6]. 36 - 40 y/o'
  --   WHEN SAFE_CAST(AGE AS INT64) &gt; 40 THEN '[7]. &gt;40 y/o'
  --   WHEN SAFE_CAST(AGE AS INT64) IS NULL THEN 'UNKNOWN'
  --   ELSE 'others'
  --     END AS AGE_GROUP_NEW
  FROM `momovn-prod.BU_ECOM.DLS_ALL_TRANS_V3_1`
  WHERE MONTH = '2024-06-01' AND CATE IN ('LOGISTICS','ADS PAYMENT','APPLICATION STORE','MARKETPLACE','GAME','OTT','DIGITAL CONTENT')
)
  SELECT 
    MONTH, 
    AGE_GROUP_NEW,
    COUNT(DISTINCT USER_ID) AS MAU_DLS_ONLINE
  FROM CLEAN_DATA
  GROUP BY 1,2
  ORDER BY 2</t>
  </si>
  <si>
    <t>SELECT DISTINCT AGE_GROUP
FROM `momovn-prod.BU_ECOM.DLS_ALL_TRANS_V3_1`
  WHERE MONTH &gt;= '2023-01-01' AND CATE IN ('LOGISTICS','ADS PAYMENT','APPLICATION STORE','MARKETPLACE','GAME','OTT','DIGITAL CONTENT')
  AND AGE_GROUP = '[7]. &gt;40 y/o'</t>
  </si>
  <si>
    <t>SELECT 
MONTH, 
MERCHANT, 
COUNT(DISTINCT USER_ID)
 FROM `momovn-prod.BU_ECOM.DLS_ALL_TRANS_V3_1`
  WHERE MONTH = '2024-05-01' AND MERCHANT = 'GOOGLE' AND CATE = 'APPLICATION STORE' AND CITY = 'Hồ Chí Minh'
  GROUP BY 1,2
  ORDER BY 1</t>
  </si>
  <si>
    <t>SELECT DISTINCT AGE_GROUP
  FROM `momovn-prod.BU_ECOM.DLS_ALL_TRANS_V3_1`
  WHERE MONTH &gt;= '2024-06-01' AND CATE IN ('LOGISTICS','ADS PAYMENT','APPLICATION STORE','MARKETPLACE','GAME','OTT','DIGITAL CONTENT')
  AND AGE_GROUP = '[7]. &gt;40 y/o'</t>
  </si>
  <si>
    <t>SELECT DISTINCT AGE_GROUP
  FROM `momovn-prod.BU_ECOM.DLS_ALL_TRANS_V3_1`
  WHERE MONTH &gt;= '2024-06-01' AND CATE IN ('LOGISTICS','ADS PAYMENT','APPLICATION STORE','MARKETPLACE','GAME','OTT','DIGITAL CONTENT')
  AND AGE_GROUP = '[7]. &gt;40 y/o '</t>
  </si>
  <si>
    <t>WITH CLEAN_DATA AS(
  SELECT 
  MONTH,
  USER_ID,
  CATE,
  AGE,
  AGE_GROUP, 
  -- CASE WHEN AGE_GROUP  LIKE "%&lt;18%" THEN '[1]. &lt;18 y/o'
  --   WHEN AGE_GROUP LIKE "%22%" THEN '[2]. 18 - 22 y/o'
  --   WHEN AGE_GROUP LIKE "%23%" THEN '[3]. 23 - 26 y/o'
  --   WHEN AGE_GROUP = '[4].28-35' THEN '[4]. 27 - 30 y/o'
  --   WHEN AGE_GROUP = '[4].28-35' THEN '[5]. 31 - 35 y/o'
  --   WHEN AGE_GROUP = '[5].36-50'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ELSE AGE
      END AS AGE_GROUP_NEW
  FROM `momovn-prod.BU_ECOM.DLS_ALL_TRANS_V3_1`
  WHERE MONTH = '2023-06-01' AND CATE IN ('LOGISTICS','ADS PAYMENT','APPLICATION STORE','MARKETPLACE','GAME','OTT','DIGITAL CONTENT')
)
  SELECT 
    MONTH, 
    AGE_GROUP_NEW,
    COUNT(DISTINCT USER_ID) AS MAU_DLS_ONLINE
  FROM CLEAN_DATA
  GROUP BY 1,2
  ORDER BY 2</t>
  </si>
  <si>
    <t>SELECT MONTH, 
AGE_GROUP,
COUNT(DISTINCT USER_ID)
  FROM `momovn-prod.BU_ECOM.DLS_ALL_TRANS_V3_1`
  WHERE MONTH = '2023-06-01' AND CATE IN ('LOGISTICS','ADS PAYMENT','APPLICATION STORE','MARKETPLACE','GAME','OTT','DIGITAL CONTENT')
GROUP BY 1,2</t>
  </si>
  <si>
    <t xml:space="preserve">WITH CLEAN_DATA AS(
  SELECT 
  MONTH,
  USER_ID,
  CATE,
  AGE,
  AGE_GROUP, 
  -- CASE WHEN AGE_GROUP  LIKE "%&lt;18%" THEN '[1]. &lt;18 y/o'
  --   WHEN AGE_GROUP LIKE "%22%" THEN '[2]. 18 - 22 y/o'
  --   WHEN AGE_GROUP LIKE "%23%" THEN '[3]. 23 - 26 y/o'
  --   WHEN AGE_GROUP = '[4].28-35' THEN '[4]. 27 - 30 y/o'
  --   WHEN AGE_GROUP = '[4].28-35' THEN '[5]. 31 - 35 y/o'
  --   WHEN AGE_GROUP = '[5].36-50'  THEN '[6]. 36 - 40 y/o'
  --   WHEN AGE_GROUP = '[6].&gt;50'  THEN '[7]. &gt;40 y/o'
    -- ELSE AGE_GROUP END AS AGE_GROUP_NEW
  CASE WHEN SAFE_CAST(AGE AS INT64) &lt; 18 THEN '[1]. &lt;18 y/o'
    WHEN SAFE_CAST(AGE AS INT64) &gt;= 18 AND SAFE_CAST(AGE AS INT64) &lt;= 22 THEN '[2]. 18 - 22 y/o'
    WHEN SAFE_CAST(AGE AS INT64) &gt;= 23 AND SAFE_CAST(AGE AS INT64) &lt;= 26 THEN '[3]. 23 - 26 y/o'
    WHEN SAFE_CAST(AGE AS INT64) &gt;= 27  AND SAFE_CAST(AGE AS INT64) &lt;= 30 THEN '[4]. 27 - 30 y/o'
    WHEN SAFE_CAST(AGE AS INT64) &gt;= 31 AND SAFE_CAST(AGE AS INT64) &lt;= 35 THEN '[5]. 31 - 35 y/o'
    WHEN SAFE_CAST(AGE AS INT64) &gt;= 36 AND SAFE_CAST(AGE AS INT64) &lt;= 40 THEN '[6]. 36 - 40 y/o'
    WHEN SAFE_CAST(AGE AS INT64) &gt; 40 THEN '[7]. &gt;40 y/o'
    ELSE AGE
      END AS AGE_GROUP_NEW
  FROM `momovn-prod.BU_ECOM.DLS_ALL_TRANS_V3_1`
  WHERE MONTH = '2024-06-01' AND CATE IN ('LOGISTICS','ADS PAYMENT','APPLICATION STORE','MARKETPLACE','GAME','OTT','DIGITAL CONTENT')
)
  SELECT 
    MONTH, 
    AGE_GROUP_NEW,
    COUNT(DISTINCT USER_ID) AS MAU_DLS_ONLINE
  FROM CLEAN_DATA
  GROUP BY 1,2
  ORDER BY 2
</t>
  </si>
  <si>
    <t xml:space="preserve">WITH CLEAN_DATA AS(
  SELECT 
  MONTH,
  USER_ID,
  CATE,
  AGE,
  AGE_GROUP, 
  CASE WHEN AGE_GROUP  LIKE "%&lt;18%" THEN '[1]. &lt;18 y/o'
    WHEN AGE_GROUP LIKE "%22%" THEN '[2]. 18 - 22 y/o'
    WHEN AGE_GROUP LIKE "%23%" THEN '[3]. 23 - 26 y/o'
    WHEN AGE_GROUP = '[4].28-35' THEN '[4]. 27 - 30 y/o'
    WHEN AGE_GROUP = '[4].28-35' THEN '[5]. 31 - 35 y/o'
    WHEN AGE_GROUP = '[5].36-50'  THEN '[6]. 36 - 40 y/o'
    WHEN AGE_GROUP = '[6].&gt;50'  THEN '[7]. &gt;40 y/o'
    ELSE AGE_GROUP END AS AGE_GROUP_NEW
  -- CASE WHEN SAFE_CAST(AGE AS INT64) &lt; 18 THEN '[1]. &lt;18 y/o'
  --   WHEN SAFE_CAST(AGE AS INT64) &gt;= 18 AND SAFE_CAST(AGE AS INT64) &lt;= 22 THEN '[2]. 18 - 22 y/o'
  --   WHEN SAFE_CAST(AGE AS INT64) &gt;= 23 AND SAFE_CAST(AGE AS INT64) &lt;= 26 THEN '[3]. 23 - 26 y/o'
  --   WHEN SAFE_CAST(AGE AS INT64) &gt;= 27  AND SAFE_CAST(AGE AS INT64) &lt;= 30 THEN '[4]. 27 - 30 y/o'
  --   WHEN SAFE_CAST(AGE AS INT64) &gt;= 31 AND SAFE_CAST(AGE AS INT64) &lt;= 35 THEN '[5]. 31 - 35 y/o'
  --   WHEN SAFE_CAST(AGE AS INT64) &gt;= 36 AND SAFE_CAST(AGE AS INT64) &lt;= 40 THEN '[6]. 36 - 40 y/o'
  --   WHEN SAFE_CAST(AGE AS INT64) &gt; 40 THEN '[7]. &gt;40 y/o'
  --   ELSE AGE
  --     END AS AGE_GROUP_NEW
  FROM `momovn-prod.BU_ECOM.DLS_ALL_TRANS_V3_1`
  WHERE MONTH = '2024-06-01' AND CATE IN ('LOGISTICS','ADS PAYMENT','APPLICATION STORE','MARKETPLACE','GAME','OTT','DIGITAL CONTENT')
)
  SELECT 
    MONTH, 
    AGE_GROUP_NEW,
    COUNT(DISTINCT USER_ID) AS MAU_DLS_ONLINE
  FROM CLEAN_DATA
  GROUP BY 1,2
  ORDER BY 2
</t>
  </si>
  <si>
    <t>SELECT * FROM `momovn-prod.BU_ECOM.DLS_ALL_TRANS_V3_1` 
WHERE USER_ID = 56466652</t>
  </si>
  <si>
    <t>SELECT * FROM `momovn-prod.BU_ECOM.DLS_ALL_TRANS_V3_1` WHERE DATE = "2024-09-26" LIMIT 1000</t>
  </si>
  <si>
    <t xml:space="preserve">SELECT * FROM `momovn-prod.BU_ECOM.DLS_ALL_TRANS_V3_1` 
WHERE USER_ID = 56466652
ORDER BY DATE DESC
</t>
  </si>
  <si>
    <t>SELECT *
  FROM `momovn-prod.BU_ECOM.DLS_ALL_TRANS_V3_1`
  WHERE DATE BETWEEN '2024-09-23' AND DATE(CURRENT_DATE('+7'))</t>
  </si>
  <si>
    <t xml:space="preserve">SELECT * FROM `momovn-prod.BU_ECOM.DLS_ALL_TRANS_V3_1` 
WHERE USER_ID = 56466652 and MONTH &gt;= '2024-01-01'
ORDER BY DATE DESC
</t>
  </si>
  <si>
    <t>SELECT *
  FROM `momovn-prod.BU_ECOM.DLS_ALL_TRANS_V3_1`
  WHERE DATE BETWEEN '2024-09-23' AND CURRENT_DATE
  ORDER BY DATE ASC</t>
  </si>
  <si>
    <t>SELECT *
  FROM `momovn-prod.BU_ECOM.DLS_ALL_TRANS_V3_1`
  WHERE DATE BETWEEN '2024-09-23' AND DATE(CURRENT_DATE('+7'))
  ORDER BY DATE ASC</t>
  </si>
  <si>
    <t>select 
  DATE,
  ORDER_ID, 
  NET_REV
from `momovn-prod.BU_ECOM.DLS_ALL_TRANS_V3_1`
WHERE DATE &gt;= '2024-10-01'</t>
  </si>
  <si>
    <t>select DATE, USER_ID, GMV, NET_REV, CATE, MERCHANT
from `momovn-prod.BU_ECOM.DLS_ALL_TRANS_V3_1`
where date &gt;= '2024-08-01'
AND USER_ID = 56466652
ORDER BY 1</t>
  </si>
  <si>
    <t>select DATE, USER_ID, GMV, NET_REV, CATE, MERCHANT
from `momovn-prod.BU_ECOM.DLS_ALL_TRANS_V3_1`
where date &gt;= '2024-08-01'
AND USER_ID = 59331890
ORDER BY 1</t>
  </si>
  <si>
    <t>SELECT 
  date,
  COUNT(DISTINCT user_id) user,
  COUNT(DISTINCT order_id) trans,
  SUM(gmv) gmv,
  SUM(net_rev) rev
FROM `momovn-prod.BU_ECOM.DLS_ALL_TRANS_V3_1`
WHERE Month = '2024-10-01'
GROUP BY 1
ORDER BY 1</t>
  </si>
  <si>
    <t>SELECT 
      CATE, 
      count(distinct T1.USER_ID)
FROM `momovn-prod.BU_ECOM.DLS_ALL_TRANS_V3_1` t1
LEFT JOIN NFC T2 ON CAST(T1.USER_ID AS STRING)= T2.USER_ID 
WHERE T2.USER_ID IS NULL
AND MONTH = '2024-09-01'
group by 1</t>
  </si>
  <si>
    <t>SELECT MERCHANT
FROM `momovn-prod.BU_ECOM.DLS_ALL_TRANS_V3_1`
WHERE MERCHANT LIKE "%CARAME%"</t>
  </si>
  <si>
    <t>SELECT DISTINCT MERCHANT
FROM `momovn-prod.BU_ECOM.DLS_ALL_TRANS_V3_1`
WHERE MERCHANT LIKE "%CARAME%"</t>
  </si>
  <si>
    <t>SELECT DISTINCT MERCHANT
FROM `momovn-prod.BU_ECOM.DLS_ALL_TRANS_V3_1`
WHERE MERCHANT LIKE "%CRYSTALS%"</t>
  </si>
  <si>
    <t>SELECT * 
FROM `momovn-prod.BU_ECOM.DLS_ALL_TRANS_V3_1`
WHERE DATE &gt;= '2024-10-01' AND USER_ID = 56466652</t>
  </si>
  <si>
    <t>SELECT DATE, GMV, NET_REV
FROM `momovn-prod.BU_ECOM.DLS_ALL_TRANS_V3_1`
WHERE MERCHANT LIKE "%CRYSTALS%"
AND DATE &gt;= '2024-01-01'
ORDER BY 1</t>
  </si>
  <si>
    <t>SELECT DATE, sum(GMV)
FROM `momovn-prod.BU_ECOM.DLS_ALL_TRANS_V3_1`
WHERE MERCHANT LIKE "%CRYSTALS%"
AND DATE &gt;= '2024-01-01'
GROUP BY 1
ORDER BY 1</t>
  </si>
  <si>
    <t>SELECT MONTH, sum(GMV)
FROM `momovn-prod.BU_ECOM.DLS_ALL_TRANS_V3_1`
WHERE MERCHANT LIKE "%CRYSTALS%"
AND DATE &gt;= '2024-01-01'
GROUP BY 1
ORDER BY 1</t>
  </si>
  <si>
    <t>SELECT
  MONTH,
  SUM(NET_REV),
  SUM(PROMO_AMOUNT)
FROM `momovn-prod.BU_ECOM.DLS_ALL_TRANS_V3_1`
WHERE CATE = 'APPLICATION STORE' AND DATE &gt;= '2024-01-01'
GROUP BY 1</t>
  </si>
  <si>
    <t>SELECT
  MONTH,
  SUM(NET_REV),
  SUM(PROMO_AMOUNT)
FROM `momovn-prod.BU_ECOM.DLS_ALL_TRANS_V3_1`
WHERE CATE = 'APPLICATION STORE' AND DATE &gt;= '2024-01-01'
GROUP BY 1
ORDER BY 1</t>
  </si>
  <si>
    <t xml:space="preserve">  SELECT DISTINCT
    USER_ID
  FROM `momovn-prod.BU_ECOM.DLS_ALL_TRANS_V3_1`
  WHERE MERCHANT IN ('VIETLOTT SMS MOBI','VIETLOTT SMS VIETTEL','VIETLOTT SMS VINA')
  AND DATE BETWEEN '2024-09-16' AND '2024-09-30'</t>
  </si>
  <si>
    <t xml:space="preserve">SELECT
    USER_ID,
    COUNT(CATE) AS usecase_count_2
  FROM `momovn-prod.BU_ECOM.DLS_ALL_TRANS_V3_1`
  WHERE
    DATE BETWEEN '2024-09-23' AND DATE(CURRENT_DATE('+7'))
    AND USER_ID = 47007903
  GROUP BY 1 
</t>
  </si>
  <si>
    <t xml:space="preserve">SELECT
    USER_ID,
    COUNT(CATE) AS usecase_count_2
  FROM `momovn-prod.BU_ECOM.DLS_ALL_TRANS_V3_1`
  WHERE
    DATE BETWEEN '2024-09-24' AND DATE(CURRENT_DATE('+7'))
    AND USER_ID = 47007903
  GROUP BY 1 
</t>
  </si>
  <si>
    <t xml:space="preserve">SELECT
    USER_ID,
    COUNT(CATE) AS usecase_count_2
  FROM `momovn-prod.BU_ECOM.DLS_ALL_TRANS_V3_1`
  WHERE
    DATE BETWEEN '2024-09-24' AND DATE(CURRENT_DATE('+7'))
    AND USER_ID = 51058576
  GROUP BY 1 
</t>
  </si>
  <si>
    <t xml:space="preserve">  SELECT DISTINCT
    -- USER_ID
    merchant
  FROM `momovn-prod.BU_ECOM.DLS_ALL_TRANS_V3_1`
  WHERE MERCHANT IN ('VIETLOTT SMS MOBI','VIETLOTT SMS VIETTEL','VIETLOTT SMS VINA')
  AND DATE BETWEEN '2024-09-16' AND '2024-09-30'</t>
  </si>
  <si>
    <t xml:space="preserve">SELECT
    USER_ID,
    COUNT(DISTINCT CATE) AS usecase_count_2
  FROM `momovn-prod.BU_ECOM.DLS_ALL_TRANS_V3_1`
  WHERE
    DATE BETWEEN '2024-09-23' AND DATE(CURRENT_DATE('+7'))
    AND USER_ID = 47007903
  GROUP BY 1 
</t>
  </si>
  <si>
    <t xml:space="preserve">SELECT
    USER_ID,
    COUNT(DISTINCT CATE) AS usecase_count_2
  FROM `momovn-prod.BU_ECOM.DLS_ALL_TRANS_V3_1`
  WHERE
    DATE BETWEEN '2024-09-24' AND DATE(CURRENT_DATE('+7'))
    AND USER_ID = 47007903
  GROUP BY 1 
</t>
  </si>
  <si>
    <t xml:space="preserve">SELECT
    USER_ID,
    COUNT(DISTINCT CATE) AS usecase_count_2
  FROM `momovn-prod.BU_ECOM.DLS_ALL_TRANS_V3_1`
  WHERE
    DATE BETWEEN '2024-09-24' AND DATE(CURRENT_DATE('+7'))
    AND USER_ID = 51058576
  GROUP BY 1 
</t>
  </si>
  <si>
    <t xml:space="preserve">  SELECT DISTINCT
    T2.USER_ID
  FROM RAW_DATA T1
  LEFT JOIN `momovn-prod.BU_ECOM.DLS_ALL_TRANS_V3_1` T2
    ON T1.TID = T2.ORDER_ID</t>
  </si>
  <si>
    <t>USERS AS(
  SELECT DISTINCT
    T2.USER_ID
  FROM RAW_DATA T1
  LEFT JOIN `momovn-prod.BU_ECOM.DLS_ALL_TRANS_V3_1` T2
    ON T1.TID = T2.ORDER_ID</t>
  </si>
  <si>
    <t xml:space="preserve">SELECT DISTINCT 
  CATE, 
  MERCHANT
FROM `momovn-prod.BU_ECOM.DLS_ALL_TRANS_V3_1`
WHERE CATE IN ('APPLICATION STORE') </t>
  </si>
  <si>
    <t>SELECT DISTINCT 
  CATE, 
  MERCHANT
FROM `momovn-prod.BU_ECOM.DLS_ALL_TRANS_V3_1`
WHERE CATE IN ('APPLICATION STORE','GAME')</t>
  </si>
  <si>
    <t>SELECT DISTINCT 
  CATE, 
  MERCHANT,
  SUB_MERCHANT
FROM `momovn-prod.BU_ECOM.DLS_ALL_TRANS_V3_1`
WHERE CATE IN ('APPLICATION STORE')</t>
  </si>
  <si>
    <t>SELECT DISTINCT 
  CATE, 
  MERCHANT
FROM `momovn-prod.BU_ECOM.DLS_ALL_TRANS_V3_1`
WHERE CATE IN ('APPLICATION STORE','DIGITAL CONTENT')</t>
  </si>
  <si>
    <t>SELECT DISTINCT 
  CATE, 
  MERCHANT,
  SUB_MERCHANT
FROM `momovn-prod.BU_ECOM.DLS_ALL_TRANS_V3_1`
WHERE CATE IN ('APPLICATION STORE') AND MERCHANT = 'APPLE'</t>
  </si>
  <si>
    <t xml:space="preserve">    SELECT 
        DISTINCT MONTH,
        USER_ID
    FROM `momovn-prod.BU_ECOM.DLS_ALL_TRANS_V3_1` 
    WHERE MONTH &gt;= '2024-01-01'
    AND CATE IN ('MARKETPLACE','GAME','APPLICATION STORE','LOGISTICS','DIGITAL CONTENT','OTT','ADS PAYMENT')</t>
  </si>
  <si>
    <t>INSERT INTO `momovn-mimir.MIMIR.DLS_ALL_TRANS_V3_1`
SELECT `DATE`, USER_ID, TRANS_TYPE, ALL_IN_ONE, MONEY_SOURCE, PARTNER_CODE, SERVICE_CODE, BU_GROUP_CODE_L1, GROUP_CODE_L1, CATE, MERCHANT, SUB_MERCHANT, GMV, TOTAL_REV, NET_REV, PROMO_AMOUNT, GENDER, AGE, AGE_GROUP, CITY, REGION, IS_KYC, IS_FACE_MATCHING, CHEATING, QD2345_CHECK, ORDER_ID, REQ_TYPE, STORE_ID
FROM `momovn-prod.BU_ECOM.DLS_ALL_TRANS_V3_1`
WHERE DATE &gt;= DATE_SUB(CURRENT_DATE(), INTERVAL 7 DAY)</t>
  </si>
  <si>
    <t>SELECT *
FROM `momovn-prod.BU_ECOM.DLS_ALL_TRANS_V3_1`
LIMIT 10</t>
  </si>
  <si>
    <t>SELECT DISTINCT MERCHANT
FROM `momovn-prod.BU_ECOM.DLS_ALL_TRANS_V3_1`</t>
  </si>
  <si>
    <t>SELECT distinct TRANS_TYPE 
FROM `momovn-prod.BU_ECOM.DLS_ALL_TRANS_V3_1`</t>
  </si>
  <si>
    <t>select *
from `momovn-prod.BU_ECOM.DLS_ALL_TRANS_V3_1`
where date = '2024-08-01'</t>
  </si>
  <si>
    <t>SELECT distinct TRANS_TYPE
FROM `momovn-prod.BU_ECOM.DLS_ALL_TRANS_V3_1`
LIMIT 10</t>
  </si>
  <si>
    <t>select *
from `momovn-prod.BU_ECOM.DLS_ALL_TRANS_V3_1`
where date = '2024-08-01'
order by 1</t>
  </si>
  <si>
    <t>SELECT *
FROM `momovn-prod.BU_ECOM.DLS_ALL_TRANS_V3_1`
WHERE SUB_MERCHANT IS NOT NULL
LIMIT 10</t>
  </si>
  <si>
    <t>select disticnt sub_merchant
from  `momovn-prod.BU_ECOM.DLS_ALL_TRANS_V3_1`
where date = '2024-08-31'</t>
  </si>
  <si>
    <t>select distinct sub_merchant
from  `momovn-prod.BU_ECOM.DLS_ALL_TRANS_V3_1`
where date = '2024-08-31'</t>
  </si>
  <si>
    <t xml:space="preserve">SELECT DISTINCT SUB_MERCHANT
FROM `momovn-prod.BU_ECOM.DLS_ALL_TRANS_V3_1`
WHERE SUB_MERCHANT IS NOT NULL
</t>
  </si>
  <si>
    <t>select distinct money_source,money_source_name
from `momovn-prod.BU_ECOM.DLS_ALL_TRANS_V3_1`
where date = '2024-08-01'
order by 1</t>
  </si>
  <si>
    <t>SELECT DISTINCT SUB_MERCHANT
FROM `momovn-prod.BU_ECOM.DLS_ALL_TRANS_V3_1`
WHERE SUB_MERCHANT IS NOT NULL
AND DATE  = '2024-08-31'</t>
  </si>
  <si>
    <t xml:space="preserve">select distinct order_id, datetime, total_rev, refund_rev, net_rev
from `momovn-prod.BU_ECOM.DLS_ALL_TRANS_V3_1`
where --refund_amount is not null and month = '2024-08-01' and merchant = 'TIKTOK'
order_id in (64420879275,65770990972,65792815548)
order by 1 </t>
  </si>
  <si>
    <t xml:space="preserve">select money_source_name, count (distinct user_id)
from `momovn-prod.BU_ECOM.DLS_ALL_TRANS_V3_1`
where month &gt;= '2024-01-01' and CATE IN ('LOGISTICS','ADS PAYMENT','APPLICATION STORE','MARKETPLACE','GAME','OTT','DIGITAL', 'CONTENT')
group by 1
order by 2 desc 
</t>
  </si>
  <si>
    <t>select 
  sum(gmv) as total_gmv,
  sum(promo_amount) as promo_amount,
  sum(cashback_amount) as cashback_amount,
  sum(total_rev) as total_rev,
  sum(refund_rev) as refund_rev,
  sum(net_rev) as net_rev
from `momovn-prod.BU_ECOM.DLS_ALL_TRANS_V3_1`
where month = '2024-08-01' and merchant = 'TIKTOK'</t>
  </si>
  <si>
    <t>SELECT *
FROM `momovn-prod.BU_ECOM.DLS_ALL_TRANS_V3_1`
ORDER_ID = 65571487260</t>
  </si>
  <si>
    <t>SELECT *
FROM `momovn-prod.BU_ECOM.DLS_ALL_TRANS_V3_1`
ORDẺ_ID = 65571487260</t>
  </si>
  <si>
    <t>SELECT *
FROM `momovn-prod.BU_ECOM.DLS_ALL_TRANS_V3_1`
WHERE ORDER_ID = 64106027093</t>
  </si>
  <si>
    <t>SELECT *
FROM `momovn-prod.BU_ECOM.DLS_ALL_TRANS_V3_1`
WHERE ORDER_ID = 65571487260</t>
  </si>
  <si>
    <t>SELECT 
  SUM(GMV) as GMV, 
  SUM(TOTAL_REV) as TOTAL_REV,
  SUM(REFUND_REV) as REFUND_REV,
  SUM(NET_REV) as NET_REV,
  SUM(PROMO_AMOUNT) as PROMO_AMOUNT,
  SUM(REFUND_AMOUNT) as REFUND_AMOUNT,
  SUM(CASHBACK_AMOUNT) as CASHBACK_AMOUNT
FROM `momovn-prod.BU_ECOM.DLS_ALL_TRANS_V3_1`
WHERE MERCHANT = 'TIKTOK' AND MONTH = '2024-08-01'</t>
  </si>
  <si>
    <t>SELECT 
  -- SUM(GMV) as GMV, 
  -- SUM(TOTAL_REV) as TOTAL_REV,
  -- SUM(REFUND_REV) as REFUND_REV,
  -- SUM(NET_REV) as NET_REV,
  -- SUM(PROMO_AMOUNT) as PROMO_AMOUNT,
  -- SUM(REFUND_AMOUNT) as REFUND_AMOUNT,
  -- SUM(CASHBACK_AMOUNT) as CASHBACK_AMOUNT
  *
FROM `momovn-prod.BU_ECOM.DLS_ALL_TRANS_V3_1`
WHERE MERCHANT = 'TIKTOK' AND MONTH = '2024-08-01'</t>
  </si>
  <si>
    <t>select merchant,
  sum(gmv) as total_gmv,
  sum(promo_amount) as promo_amount,
  sum(cashback_amount) as cashback_amount,
  sum(total_rev) as total_rev,
  sum(refund_rev) as refund_rev,
  sum(net_rev) as net_rev
from `momovn-prod.BU_ECOM.DLS_ALL_TRANS_V3_1`
where month = '2024-08-01' and merchant in  ('TIKTOK','GRAB-ENDUSER','GSM',"LAZADA","APPLICATION STORE")
order by 1</t>
  </si>
  <si>
    <t>select merchant,
  sum(gmv) as total_gmv,
  sum(promo_amount) as promo_amount,
  sum(cashback_amount) as cashback_amount,
  sum(total_rev) as total_rev,
  sum(refund_rev) as refund_rev,
  sum(net_rev) as net_rev
from `momovn-prod.BU_ECOM.DLS_ALL_TRANS_V3_1`
where month = '2024-08-01' and merchant in  ('TIKTOK','GRAB-ENDUSER','GSM',"LAZADA","APPLE","GOOGLE")
group by 1
order by 1</t>
  </si>
  <si>
    <t>select merchant,
  sum(gmv) as total_gmv,
  sum(promo_amount) as promo_amount,
  sum(cashback_amount) as cashback_amount,
  sum(total_rev) as total_rev,
  sum(refund_rev) as refund_rev,
  sum(net_rev) as net_rev
from `momovn-prod.BU_ECOM.DLS_ALL_TRANS_V3_1`
where month = '2024-08-01' and merchant in  ('TIKTOK','GRAB-ENDUSER','GSM',"LAZADA","APPLICATION STORE")
group by 1
order by 1</t>
  </si>
  <si>
    <t xml:space="preserve">select datetime 
from `momovn-prod.BU_ECOM.DLS_ALL_TRANS_V3_1`
WHERE MERCHANT = 'GRAB-ENDUSER'
ORDER BY datetime ASC
LIMIT 1 </t>
  </si>
  <si>
    <t xml:space="preserve">select 
SUM(GMV),
COUNT(ORDER_ID)
from `momovn-prod.BU_ECOM.DLS_ALL_TRANS_V3_1`
WHERE date &lt; DATE_SUB('2023-10-10', INTERVAL 60 DAY) </t>
  </si>
  <si>
    <t xml:space="preserve">select 
SUM(GMV),
COUNT(ORDER_ID)
from `momovn-prod.BU_ECOM.DLS_ALL_TRANS_V3_1`
WHERE date &gt; DATE_SUB('2023-10-10', INTERVAL 60 DAY) </t>
  </si>
  <si>
    <t xml:space="preserve">select 
SUM(GMV),
COUNT(ORDER_ID)
from `momovn-prod.BU_ECOM.DLS_ALL_TRANS_V3_1`
WHERE date &gt;= DATE_SUB('2023-10-10', INTERVAL 60 DAY) </t>
  </si>
  <si>
    <t>SELECT ORDER_ID
FROM `momovn-prod.BU_ECOM.DLS_ALL_TRANS_V3_1`
WHERE month = '2024-08-01' and CASHBACK_AMOUNT IS NOT NULL AND MERCHANT = 'TIKTOK'</t>
  </si>
  <si>
    <t>select merchant,
  sum(gmv) as total_gmv,
  sum(promo_amount) as promo_amount,
  sum(cashback_amount) as cashback_amount,
  sum(total_rev) as total_rev,
  sum(refund_rev) as refund_rev,
  sum(net_rev) as net_rev
from `momovn-prod.BU_ECOM.DLS_ALL_TRANS_V3_1`
where refund_rev &lt;&gt; 0  --and merchant in  ('TIKTOK','GRAB-ENDUSER','GSM',"LAZADA","APPLE","GOOGLE",'BE GROUP',)
group by 1
order by refund_rev desc</t>
  </si>
  <si>
    <t>select 
  money_source_name,
  count(distinct user_id)
from `momovn-prod.BU_ECOM.DLS_ALL_TRANS_V3_1`
where month &gt;= '2024-01-01'
group by 1
order by 2 desc</t>
  </si>
  <si>
    <t>SELECT ORDER_ID, CASHBACK_AMOUNT
FROM `momovn-prod.BU_ECOM.DLS_ALL_TRANS_V3_1`
WHERE month = '2024-08-01' and CASHBACK_AMOUNT IS NOT NULL AND MERCHANT = 'TIKTOK'</t>
  </si>
  <si>
    <t>select merchant,
  sum(gmv) as total_gmv,
  sum(promo_amount) as promo_amount,
  sum(cashback_amount) as cashback_amount,
  sum(total_rev) as total_rev,
  sum(refund_rev) as refund_rev,
  sum(net_rev) as net_rev
from `momovn-prod.BU_ECOM.DLS_ALL_TRANS_V3_1`
where month = '2024-08-01' and refund_rev is not null --and merchant in  ('TIKTOK','GRAB-ENDUSER','GSM',"LAZADA","APPLE","GOOGLE",'BE GROUP',)
group by 1
order by 1</t>
  </si>
  <si>
    <t>select merchant,
  sum(gmv) as total_gmv,
  sum(promo_amount) as promo_amount,
  sum(cashback_amount) as cashback_amount,
  sum(total_rev) as total_rev,
  sum(refund_rev) as refund_rev,
  sum(net_rev) as net_rev
from `momovn-prod.BU_ECOM.DLS_ALL_TRANS_V3_1`
where month = '2024-08-01' and refund_rev &gt; 0  --and merchant in  ('TIKTOK','GRAB-ENDUSER','GSM',"LAZADA","APPLE","GOOGLE",'BE GROUP',)
group by 1
order by refund_rev desc</t>
  </si>
  <si>
    <t>select month,
COUNTIF(month &lt; '2023-10-01') as Trans_Bef_Grab,
COUNTIF(month &gt;= '2023-10-01') as Trans_After_Grab
from `momovn-prod.BU_ECOM.DLS_ALL_TRANS_V3_1`
GROUP BY 1</t>
  </si>
  <si>
    <t>select
  month,
  merchant,
  sum(gmv) as total_gmv,
  sum(promo_amount) as promo_amount,
  sum(cashback_amount) as cashback_amount,
  sum(total_rev) as total_rev,
  sum(refund_rev) as refund_rev,
  sum(net_rev) as net_rev
from `momovn-prod.BU_ECOM.DLS_ALL_TRANS_V3_1`
where refund_rev &lt;&gt; 0  --and merchant in  ('TIKTOK','GRAB-ENDUSER','GSM',"LAZADA","APPLE","GOOGLE",'BE GROUP',)
group by 1,2
order by refund_rev desc, month desc</t>
  </si>
  <si>
    <t>select merchant,
  sum(gmv) as total_gmv,
  sum(promo_amount) as promo_amount,
  sum(cashback_amount) as cashback_amount,
  sum(total_rev) as total_rev,
  sum(refund_rev) as refund_rev,
  sum(net_rev) as net_rev
from `momovn-prod.BU_ECOM.DLS_ALL_TRANS_V3_1`
where month = '2024-08-01' and refund_rev &lt;&gt; 0  --and merchant in  ('TIKTOK','GRAB-ENDUSER','GSM',"LAZADA","APPLE","GOOGLE",'BE GROUP',)
group by 1
order by refund_rev desc</t>
  </si>
  <si>
    <t>select merchant,
  sum(gmv) as total_gmv,
  sum(promo_amount) as promo_amount,
  sum(cashback_amount) as cashback_amount,
  sum(total_rev) as total_rev,
  sum(refund_rev) as refund_rev,
  sum(net_rev) as net_rev
from `momovn-prod.BU_ECOM.DLS_ALL_TRANS_V3_1`
where month = '2024-08-01' and refund_rev &gt;= 0  --and merchant in  ('TIKTOK','GRAB-ENDUSER','GSM',"LAZADA","APPLE","GOOGLE",'BE GROUP',)
group by 1
order by refund_rev desc</t>
  </si>
  <si>
    <t>select merchant,
  sum(gmv) as total_gmv,
  sum(promo_amount) as promo_amount,
  sum(cashback_amount) as cashback_amount,
  sum(total_rev) as total_rev,
  sum(refund_rev) as refund_rev,
  sum(net_rev) as net_rev
from `momovn-prod.BU_ECOM.DLS_ALL_TRANS_V3_1`
where month = '2024-08-01' and refund_rev is not null --and merchant in  ('TIKTOK','GRAB-ENDUSER','GSM',"LAZADA","APPLE","GOOGLE",'BE GROUP',)
group by 1
order by refund_rev desc</t>
  </si>
  <si>
    <t>select distinct order_id, datetime, total_rev, refund_rev, net_rev
from `momovn-prod.BU_ECOM.DLS_ALL_TRANS_V3_1`
where refund_amount is not null and month = '2024-08-01' and merchant = 'TIKTOK'</t>
  </si>
  <si>
    <t>SELECT 
  SUM(GMV), SUM(TOTAL_REV), SUM(REFUND_REV), SUM(NET_REV), SUM(PROMO_AMOUNT), SUM(REFUND_AMOUNT), SUM(CASHBACK_AMOUNT)
FROM `momovn-prod.BU_ECOM.DLS_ALL_TRANS_V3_1`
WHERE MERCHANT = 'TIKTOK' AND MONTH = '2024-08-01'</t>
  </si>
  <si>
    <t>select distinct order_id, datetime, total_rev, refund_rev, net_rev
from `momovn-prod.BU_ECOM.DLS_ALL_TRANS_V3_1`
where --refund_amount is not null and month = '2024-08-01' and merchant = 'TIKTOK'
order_id in (64420879275,65770990972,65792815548)</t>
  </si>
  <si>
    <t>SELECT 
MONTH,
USER_ID,
SUM(GMV)
FROM `momovn-prod.BU_ECOM.DLS_ALL_TRANS_V3_1`
WHERE (MONTH BETWEEN '2024-08-01' AND '2024-09-01') AND SERVICE_CODE IN ('m4becomadyen_facebook','m4becomboku_facebook','googleasia',
'm4becombytedance_promote_payin','m4becombytedance_ads_payin','m4becomzaloads')
GROUP BY 1,2</t>
  </si>
  <si>
    <t>with users as(
SELECT 
MONTH,
USER_ID,
SUM(GMV) as total_GMV
FROM `momovn-prod.BU_ECOM.DLS_ALL_TRANS_V3_1`
WHERE (MONTH BETWEEN '2024-08-01' AND '2024-09-01') AND SERVICE_CODE IN ('m4becomadyen_facebook','m4becomboku_facebook','googleasia',
'm4becombytedance_promote_payin','m4becombytedance_ads_payin','m4becomzaloads')
GROUP BY 1,2
)
SELECT 
  USER_ID, 
  CASE WHEN total_GMV &lt;= 3000000 and Month = '2024-08-01' THEN 'Nhóm Chi Tiêu T8'
       WHEN total_GMV &lt;= 3000000 and Month = '2024-09-01' THEN 'Nhóm Chi Tiêu T9'
       END AS Segments
FROM users</t>
  </si>
  <si>
    <t xml:space="preserve">with users as(
SELECT 
MONTH,
USER_ID,
SUM(GMV) as total_GMV
FROM `momovn-prod.BU_ECOM.DLS_ALL_TRANS_V3_1`
WHERE (MONTH BETWEEN '2024-08-01' AND '2024-09-01') AND SERVICE_CODE IN ('m4becomadyen_facebook','m4becomboku_facebook','googleasia',
'm4becombytedance_promote_payin','m4becombytedance_ads_payin','m4becomzaloads')
GROUP BY 1,2
)
SELECT 
  USER_ID, 
  CASE WHEN total_GMV &lt;= 3000000 and Month = '2024-08-01' THEN USER_ID END AS T8,
  CASE WHEN total_GMV &lt;= 3000000 and Month = '2024-09-01' THEN USER_ID END AS T9
FROM users
WHERE total_GMV &lt;= 3000000
</t>
  </si>
  <si>
    <t xml:space="preserve">with users as(
SELECT 
MONTH,
USER_ID,
SUM(GMV) as total_GMV
FROM `momovn-prod.BU_ECOM.DLS_ALL_TRANS_V3_1`
WHERE (MONTH BETWEEN '2024-08-01' AND '2024-09-01') AND SERVICE_CODE IN ('m4becomadyen_facebook','m4becomboku_facebook','googleasia',
'm4becombytedance_promote_payin','m4becombytedance_ads_payin','m4becomzaloads')
GROUP BY 1,2
)
SELECT 
  CASE WHEN total_GMV &lt;= 3000000 and Month = '2024-08-01' THEN USER_ID END AS T8_Ads_Segments,
  CASE WHEN total_GMV &lt;= 3000000 and Month = '2024-09-01' THEN USER_ID END AS T9_Ads_Segments
FROM users
WHERE total_GMV &lt;= 3000000
</t>
  </si>
  <si>
    <t xml:space="preserve">SELECT *
FROM `momovn-prod.BU_ECOM.DLS_ALL_TRANS_V3_1`
WHERE USER_ID = 56466652
</t>
  </si>
  <si>
    <t xml:space="preserve">with users as(
SELECT 
MONTH,
USER_ID,
SUM(GMV) as total_GMV
FROM `momovn-prod.BU_ECOM.DLS_ALL_TRANS_V3_1`
WHERE (MONTH BETWEEN '2024-08-01' AND '2024-09-01') AND SERVICE_CODE IN ('m4becomadyen_facebook','m4becomboku_facebook','googleasia',
'm4becombytedance_promote_payin','m4becombytedance_ads_payin','m4becomzaloads')
GROUP BY 1,2
)
SELECT 
  USER_ID, 
  CASE WHEN total_GMV &lt;= 3000000 and Month = '2024-08-01' THEN 'Nhóm Chi Tiêu T8'
       WHEN total_GMV &lt;= 3000000 and Month = '2024-09-01' THEN 'Nhóm Chi Tiêu T9'
       END AS Segments
FROM users
WHERE total_GMV &lt;= 3000000
</t>
  </si>
  <si>
    <t xml:space="preserve">with users as(
SELECT 
MONTH,
USER_ID,
SUM(GMV) as total_GMV
FROM `momovn-prod.BU_ECOM.DLS_ALL_TRANS_V3_1`
WHERE MONTH IN('2024-08-01','2024-09-01') AND SERVICE_CODE IN ('m4becomadyen_facebook','m4becomboku_facebook','googleasia',
'm4becombytedance_promote_payin','m4becombytedance_ads_payin','m4becomzaloads')
GROUP BY 1,2
)
SELECT 
  USER_ID, 
  CASE WHEN total_GMV &lt;= 3000000 and Month = '2024-08-01' THEN "Nhóm Chi Tiêu Tháng 8"
      WHEN total_GMV &lt;= 3000000 and Month = '2024-09-01' THEN "Nhóm Chi Tiêu Tháng 9"
      END AS Segments
FROM users
WHERE total_GMV &lt;= 3000000
</t>
  </si>
  <si>
    <t xml:space="preserve">with users as(
SELECT 
MONTH,
USER_ID,
SUM(GMV) as total_GMV
FROM `momovn-prod.BU_ECOM.DLS_ALL_TRANS_V3_1`
WHERE (MONTH BETWEEN '2024-08-01' AND '2024-09-01') AND SERVICE_CODE IN ('m4becomadyen_facebook','m4becomboku_facebook','googleasia',
'm4becombytedance_promote_payin','m4becombytedance_ads_payin','m4becomzaloads')
GROUP BY 1,2
)
SELECT 
  USER_ID, 
  CASE WHEN total_GMV &lt;= 3000000 and Month = '2024-08-01' THEN "Nhóm Chi Tiêu Tháng 8"
      WHEN total_GMV &lt;= 3000000 and Month = '2024-09-01' THEN "Nhóm Chi Tiêu Tháng 9"
      END AS Segments
FROM users
WHERE total_GMV &lt;= 3000000
</t>
  </si>
  <si>
    <t>SELECT *
FROM `momovn-prod.BU_ECOM.DLS_ALL_TRANS_V3_1`
WHERE USER_ID = 56466652
ORDER BY DATE DESC</t>
  </si>
  <si>
    <t>SELECT DISTINCT CATE, MERCHANT
FROM `momovn-prod.BU_ECOM.DLS_ALL_TRANS_V3_1`
WHERE MERCHANT = 'BE GROUP'</t>
  </si>
  <si>
    <t xml:space="preserve">with users as(
SELECT 
MONTH,
USER_ID,
SUM(GMV) as total_GMV
FROM `momovn-prod.BU_ECOM.DLS_ALL_TRANS_V3_1`
WHERE MONTH = '2024-08-01' AND SERVICE_CODE IN ('m4becomadyen_facebook','m4becomboku_facebook','googleasia',
'm4becombytedance_promote_payin','m4becombytedance_ads_payin','m4becomzaloads')
GROUP BY 1,2
)
SELECT 
  USER_ID
FROM users
WHERE total_GMV &lt;= 3000000
</t>
  </si>
  <si>
    <t xml:space="preserve">with users as(
SELECT 
MONTH,
USER_ID,
SUM(GMV) as total_GMV
FROM `momovn-prod.BU_ECOM.DLS_ALL_TRANS_V3_1`
WHERE MONTH = '2024-09-01' AND SERVICE_CODE IN ('m4becomadyen_facebook','m4becomboku_facebook','googleasia',
'm4becombytedance_promote_payin','m4becombytedance_ads_payin','m4becomzaloads')
GROUP BY 1,2
)
SELECT 
  USER_ID
FROM users
WHERE total_GMV &lt;= 3000000
</t>
  </si>
  <si>
    <t>SELECT DISTINCT USER_ID, ORDER_ID, CATE, MERCHANT, ALL_IN_ONE 
FROM `momovn-prod.BU_ECOM.DLS_ALL_TRANS_V3_1`
WHERE ALL_IN_ONE = 'AIO'</t>
  </si>
  <si>
    <t>SELECT DISTINCT USER_ID, ORDER_ID, CATE, MERCHANT, ALL_IN_ONE 
FROM `momovn-prod.BU_ECOM.DLS_ALL_TRANS_V3_1`
WHERE MERCHANT = 'GRAB-ENDUSER'</t>
  </si>
  <si>
    <t>SELECT DISTINCT USER_ID, ORDER_ID, CATE, MERCHANT, ALL_IN_ONE 
FROM `momovn-prod.BU_ECOM.DLS_ALL_TRANS_V3_1`
WHERE MERCHANT = 'GRAB-ENDUSER' and ALL_IN_ONE = 'AIO'</t>
  </si>
  <si>
    <t>SELECT DISTINCT SUM(net_rev) rev
FROM `momovn-prod.BU_ECOM.DLS_ALL_TRANS_V3_1`
WHERE 1=1
AND cate = 'ADS PAYMENT' 
AND service_code LIKE 'fee%' 
AND month = '2024-08-01'</t>
  </si>
  <si>
    <t>"SELECT DISTINCT SUM(net_rev) rev
FROM `momovn-prod.BU_ECOM.DLS_ALL_TRANS_V3_1`
WHERE 1=1
AND cate = 'ADS PAYMENT' 
AND service_code LIKE 'fee%' 
AND month = '2024-08-01'
GROUP BY 1,2"</t>
  </si>
  <si>
    <t>SELECT DATE, ORDER_ID, CATE, MERCHANT, GMV, TOTAL_REV, REFUND_REV, NET_REV, PROMO_AMOUNT, REFUND_AMOUNT, CASHBACK_AMOUNT
FROM `momovn-prod.BU_ECOM.DLS_ALL_TRANS_V3_1`
WHERE USER_ID = 56466652
ORDER BY DATE DESC</t>
  </si>
  <si>
    <t xml:space="preserve">CREATE OR REPLACE TABLE `project-5400504384186300846.PUSH_NOTI_EMAIL.20240923_Ads_payment_3M_Aug` AS
with users as(
SELECT 
MONTH,
USER_ID,
SUM(GMV) as total_GMV
FROM `momovn-prod.BU_ECOM.DLS_ALL_TRANS_V3_1`
WHERE MONTH = '2024-08-01' AND SERVICE_CODE IN ('m4becomadyen_facebook','m4becomboku_facebook','googleasia',
'm4becombytedance_promote_payin','m4becombytedance_ads_payin','m4becomzaloads')
GROUP BY 1,2
)
SELECT 
  USER_ID
FROM users
WHERE total_GMV &lt;= 3000000
</t>
  </si>
  <si>
    <t xml:space="preserve">CREATE OR REPLACE TABLE `project-5400504384186300846.PUSH_NOTI_EMAIL.20240923_Ads_payment_3M_Sep` AS
with users as(
SELECT 
MONTH,
USER_ID,
SUM(GMV) as total_GMV
FROM `momovn-prod.BU_ECOM.DLS_ALL_TRANS_V3_1`
WHERE MONTH = '2024-08-01' AND SERVICE_CODE IN ('m4becomadyen_facebook','m4becomboku_facebook','googleasia',
'm4becombytedance_promote_payin','m4becombytedance_ads_payin','m4becomzaloads')
GROUP BY 1,2
)
SELECT 
  USER_ID
FROM users
WHERE total_GMV &lt;= 3000000
</t>
  </si>
  <si>
    <t xml:space="preserve">CREATE OR REPLACE TABLE `project-5400504384186300846.PUSH_NOTI_EMAIL.20240923_Ads_payment_3M_Sep` AS
with users as(
SELECT 
MONTH,
USER_ID,
SUM(GMV) as total_GMV
FROM `momovn-prod.BU_ECOM.DLS_ALL_TRANS_V3_1`
WHERE MONTH = '2024-09-01' AND SERVICE_CODE IN ('m4becomadyen_facebook','m4becomboku_facebook','googleasia',
'm4becombytedance_promote_payin','m4becombytedance_ads_payin','m4becomzaloads')
GROUP BY 1,2
)
SELECT 
  USER_ID
FROM users
WHERE total_GMV &lt;= 3000000
</t>
  </si>
  <si>
    <t xml:space="preserve">  select  
    *
  from `momovn-prod.BU_ECOM.DLS_ALL_TRANS_V3_1` t1
  join `momovn-prod.BU_ECOM.DLS_ALL_TRANS_V3_1` t2 on t1.USER_ID = t2.USER_ID
  and t1.date = t2.date - interval '1' month
  where t1.date &gt;= '2024-09-01'
  and t2.date &gt;= '2024-08-01'</t>
  </si>
  <si>
    <t xml:space="preserve">  select  
    *
  from `momovn-prod.BU_ECOM.DLS_ALL_TRANS_V3_1` t1
  left join `momovn-prod.BU_ECOM.DLS_ALL_TRANS_V3_1` t2 on t1.USER_ID = t2.USER_ID
  and t1.date = t2.date - interval '1' month
  and t1.date &gt;= '2024-01-01'
  and t2.date &gt;= '2024-01-01'</t>
  </si>
  <si>
    <t xml:space="preserve">  select  
    *
  from `momovn-prod.BU_ECOM.DLS_ALL_TRANS_V3_1` t1
  left join `momovn-prod.BU_ECOM.DLS_ALL_TRANS_V3_1` t2 on t1.USER_ID = t2.USER_ID
  and t1.date = t2.date - interval '1' month
  where t1.date &gt;= '2024-09-01'
  and t2.date &gt;= '2024-10-01'</t>
  </si>
  <si>
    <t>WITH raw as (
SELECT
   USER_ID, 
   DATE, 
   MERCHANT
FROM `momovn-prod.BU_ECOM.DLS_ALL_TRANS_V3_1`
WHERE MERCHANT IN ('VIETLOTT SMS VIETTEL','VIETLOTT SMS MOBI','VIETLOTT SMS VINA')
)
SELECT
    DATE,
    COUNT(USER_ID)
FROM raw
GROUP BY 1
ORDER BY 1 DESC</t>
  </si>
  <si>
    <t>hang.vu@mservice.com.vn</t>
  </si>
  <si>
    <t>with grab_first_user as(
  select 
    date as first_date, 
    user_id, 
    gmv, 
    order_id,
    row_number() over(partition by user_id order by datetime) rn_user
  from `momovn-prod.BU_ECOM.DLS_ALL_TRANS_V3_1`
  where (merchant = 'GRAB-ENDUSER') and 
  (date between '2023-10-01' and '2023-11-01')
  qualify rn_user = 1
), 
logistic_all_trans as (
  select distinct
    date as trx_date,
    user_id,
    order_id,
    gmv
  from `momovn-prod.BU_ECOM.DLS_ALL_TRANS_V3_1`
  where cate = 'LOGISTICS'
),
join_two_table as (
  select distinct
    t1.user_id,
    t1.first_date,
    t2.trx_date,
    t2.order_id,
    t2.gmv,
  from grab_first_user t1
  left join logistic_all_trans t2 
    on t1.user_id = t2.user_id
)
select 
  sum(case when date_sub (first_date, interval 30 day) &lt;= trx_date and trx_date &lt;= first_date then gmv end) as before_gmv_30d,
  sum(case when date_add (first_date, interval 30 day) &gt;= trx_date and trx_date &gt;= first_date then gmv end) as after_gmv_30d,
  count(distinct case when date_sub (first_date, interval 30 day) &lt;= trx_date and trx_date &lt;= first_date then order_id end) as before_trx_30d,
  count(distinct case when date_add (first_date, interval 30 day) &gt;= trx_date and trx_date &gt;= first_date then order_id end) as after_trx_30d
from join_two_table</t>
  </si>
  <si>
    <t>SELECT
    t1.month AS current_month,
    COUNT(DISTINCT t1.user_id) AS returning_users
  FROM
    `momovn-prod.BU_ECOM.DLS_ALL_TRANS_V3_1` t1
  JOIN
    `momovn-prod.BU_ECOM.DLS_ALL_TRANS_V3_1` t2
  ON t1.user_id = t2.user_id
    AND t2.month &lt; t1.month
  WHERE t2.date &gt;= '2024-01-01'
  GROUP BY
    1</t>
  </si>
  <si>
    <t xml:space="preserve">with monthly_users AS (
  SELECT
    month,
    cate,
    merchant,
    COUNT(DISTINCT user_id) AS total_users
  FROM
  `momovn-prod.BU_ECOM.DLS_ALL_TRANS_V3_1`  
  WHERE date &gt;= '2024-01-01'
  GROUP BY 1,2,3
),
retained_users AS (
  SELECT
    t1.month AS current_month,
    t1.cate,
    t1.merchant,
    COUNT(DISTINCT t1.user_id) AS returning_users
  FROM
    `momovn-prod.BU_ECOM.DLS_ALL_TRANS_V3_1` t1
  JOIN
    `momovn-prod.BU_ECOM.DLS_ALL_TRANS_V3_1` t2
  ON t1.user_id = t2.user_id
    AND t2.month &lt; t1.month
  WHERE t2.date &gt;= '2024-01-01'
  GROUP BY 1,2,3
)
SELECT
  ru.current_month,
  ru.returning_users,
  mu.total_users,
  SAFE_DIVIDE(returning_users, total_users) AS retention_rate
FROM retained_users ru
JOIN
  monthly_users mu
ON
  ru.current_month = mu.month
ORDER BY 1
</t>
  </si>
  <si>
    <t xml:space="preserve">with monthly_users AS (
  SELECT
    month,
    cate,
    merchant,
    COUNT(DISTINCT user_id) AS total_users
  FROM
  `momovn-prod.BU_ECOM.DLS_ALL_TRANS_V3_1`  
  WHERE date &gt;= '2024-01-01'
  GROUP BY 1,2,3
),
retained_users AS (
  SELECT
    t1.month AS current_month,
    t1.cate,
    t1.merchant,
    COUNT(DISTINCT t1.user_id) AS returning_users
  FROM
    `momovn-prod.BU_ECOM.DLS_ALL_TRANS_V3_1` t1
  JOIN
    `momovn-prod.BU_ECOM.DLS_ALL_TRANS_V3_1` t2
  ON t1.user_id = t2.user_id
    AND t2.month &lt; t1.month
  WHERE t2.date &gt;= '2024-01-01'
  GROUP BY 1,2,3
)
SELECT
  ru.current_month,
  ru.cate,
  ru.merchant,
  ru.returning_users,
  mu.total_users,
  SAFE_DIVIDE(ru.returning_users, mu.total_users) AS retention_rate
FROM retained_users ru
JOIN
  monthly_users mu
ON
  ru.current_month = mu.month
ORDER BY 1
</t>
  </si>
  <si>
    <t>select 
user_id, 
month 
from `momovn-prod.BU_ECOM.DLS_ALL_TRANS_V3_1`
where date &gt;= '2024-01-01'</t>
  </si>
  <si>
    <t xml:space="preserve">  select  
    month, USER_ID
  from `momovn-prod.BU_ECOM.DLS_ALL_TRANS_V3_1` t1
  where month = '2024-08-01'</t>
  </si>
  <si>
    <t>select 
SUM(GMV)
FROM `momovn-prod.BU_ECOM.DLS_ALL_TRANS_V3_1`
WHERE DATE &gt;= '2024-01-01'AND USER_ID = 59331890</t>
  </si>
  <si>
    <t>select 
SUM(NET_REV)
FROM `momovn-prod.BU_ECOM.DLS_ALL_TRANS_V3_1`
WHERE DATE &gt;= '2024-01-01'AND USER_ID = 56466652</t>
  </si>
  <si>
    <t>select 
SUM(NET_REV)
FROM `momovn-prod.BU_ECOM.DLS_ALL_TRANS_V3_1`
WHERE DATE &gt;= '2024-01-01'AND USER_ID = 59331890</t>
  </si>
  <si>
    <t>select 
SUM(TOTAL_REV)
FROM `momovn-prod.BU_ECOM.DLS_ALL_TRANS_V3_1`
WHERE DATE &gt;= '2024-01-01'AND USER_ID = 59331890</t>
  </si>
  <si>
    <t xml:space="preserve">  select  
    user_id,
    MIN(month) as first_month
  from `momovn-prod.BU_ECOM.DLS_ALL_TRANS_V3_1` t1
  group by 1</t>
  </si>
  <si>
    <t xml:space="preserve">  SELECT
    t1.month AS current_month,
    t2.month AS previous_month,
    COUNT(DISTINCT t1.user_id) AS returning_users,
    COUNT(DISTINCT t2.user_id) as previous_users
  FROM
    `momovn-prod.BU_ECOM.DLS_ALL_TRANS_V3_1` t1
  JOIN
    `momovn-prod.BU_ECOM.DLS_ALL_TRANS_V3_1` t2
  ON t1.user_id = t2.user_id
    AND t2.month &lt; t1.month
  WHERE t2.date &gt;= '2024-01-01'
  GROUP BY
    1,2</t>
  </si>
  <si>
    <t xml:space="preserve">  select  
    user_id,
    MIN(month) as first_month
  from `momovn-prod.BU_ECOM.DLS_ALL_TRANS_V3_1` t1
  where date &gt;= '2024-01-01'
  group by 1</t>
  </si>
  <si>
    <t xml:space="preserve">  SELECT
    t1.month AS current_month,
    t2.month AS previous_month,
    COUNT(DISTINCT t1.user_id) AS returning_users,
    COUNT(DISTINCT t2.user_id) as previous_users
  FROM
    `momovn-prod.BU_ECOM.DLS_ALL_TRANS_V3_1` t1
  JOIN
    `momovn-prod.BU_ECOM.DLS_ALL_TRANS_V3_1` t2
  ON t1.user_id = t2.user_id
    AND t2.month &lt; t1.month
  WHERE t2.date between '2024-08-01' and '2024-09-01'
  GROUP BY
    1,2</t>
  </si>
  <si>
    <t>SELECT
   USER_ID, 
   DATE, 
   MERCHANT
FROM `momovn-prod.BU_ECOM.DLS_ALL_TRANS_V3_1`
WHERE MERCHANT IN ('VIETLOTT SMS VIETTEL','VIETLOTT SMS MOBI','VIETLOTT SMS VINA')</t>
  </si>
  <si>
    <t>SELECT
    DATE,
    COUNT(USER_ID)
FROM `momovn-prod.BU_ECOM.DLS_ALL_TRANS_V3_1`
WHERE MERCHANT IN ('VIETLOTT SMS VIETTEL','VIETLOTT SMS MOBI','VIETLOTT SMS VINA')
GROUP BY 1
ORDER BY 1 DESC</t>
  </si>
  <si>
    <t>SELECT
    DATE,
    COUNT(USER_ID) as users
FROM `momovn-prod.BU_ECOM.DLS_ALL_TRANS_V3_1`
WHERE MERCHANT IN ('VIETLOTT SMS VIETTEL','VIETLOTT SMS MOBI','VIETLOTT SMS VINA')
GROUP BY 1
ORDER BY 1 DESC</t>
  </si>
  <si>
    <t>with grab_first_user as(
  select 
    date as first_date, 
    user_id, 
    gmv, 
    order_id,
    row_number() over(partition by user_id order by datetime) rn_user
  from `momovn-prod.BU_ECOM.DLS_ALL_TRANS_V3_1`
  where (merchant = 'GRAB-ENDUSER') and 
  (date between '2023-10-01' and '2023-11-01')
  qualify rn_user = 1
), 
logistic_all_trans as (
  select distinct
    date as trx_date,
    user_id,
    order_id,
    gmv
  from `momovn-prod.BU_ECOM.DLS_ALL_TRANS_V3_1`
  where cate = 'LOGISTICS'
)
  select 
    t1.user_id,
    t1.first_date,
    t2.trx_date,
    t2.order_id,
    t2.gmv,
  from grab_first_user t1
  left join logistic_all_trans t2 
    on t1.user_id = t2.user_id</t>
  </si>
  <si>
    <t>with grab_first_user as(
  select 
    date as first_date, 
    user_id, 
    gmv, 
    order_id,
    row_number() over(partition by user_id order by datetime) rn_user
  from `momovn-prod.BU_ECOM.DLS_ALL_TRANS_V3_1`
  where (merchant = 'GRAB-ENDUSER') and 
  (date between '2023-10-01' and '2023-11-01')
  qualify rn_user = 1
), 
logistic_all_trans as (
  select distinct
    date as trx_date,
    user_id,
    order_id,
    gmv
  from `momovn-prod.BU_ECOM.DLS_ALL_TRANS_V3_1`
  where cate = 'LOGISTICS'
)
  select distinct
    t1.user_id,
    t1.first_date,
    t2.trx_date,
    t2.order_id,
    t2.gmv,
  from grab_first_user t1
  left join logistic_all_trans t2 
    on t1.user_id = t2.user_id</t>
  </si>
  <si>
    <t>with grab_first_user as(
  select 
    date as first_date, 
    user_id, 
    gmv, 
    order_id,
    row_number() over(partition by user_id order by datetime) rn_user
  from `momovn-prod.BU_ECOM.DLS_ALL_TRANS_V3_1`
  where (merchant = 'GRAB-ENDUSER') and 
  (date between '2023-10-01' and '2023-11-01')
  qualify rn_user = 1
), 
logistic_all_trans as (
  select distinct
    date as trx_date,
    user_id,
    order_id,
    gmv
  from `momovn-prod.BU_ECOM.DLS_ALL_TRANS_V3_1`
  where cate = 'LOGISTICS'
)
  select 
    t1.user_id,
    t1.first_date,
    t2.trx_date,
    t2.order_id,
    t2.gmv,
    t1.gmv
  from grab_first_user t1
  left join logistic_all_trans t2 
    on t1.user_id = t2.user_id</t>
  </si>
  <si>
    <t>with grab_first_user as(
  select 
    date as first_date, 
    user_id, 
    gmv, 
    order_id,
    row_number() over(partition by user_id order by datetime) rn_user
  from `momovn-prod.BU_ECOM.DLS_ALL_TRANS_V3_1`
  where (merchant = 'GRAB-ENDUSER') and 
  (date between '2023-10-01' and '2023-11-01')
  qualify rn_user = 1
), 
logistic_all_trans as (
  select distinct
    date as trx_date,
    user_id,
    order_id,
    gmv
  from `momovn-prod.BU_ECOM.DLS_ALL_TRANS_V3_1`
  where cate = 'LOGISTICS'
)
select 
 case when date_sub (first_date, interval 30 day) &lt;= trx_date and trx_date &lt;= first_date then 'bef' end as before_30d,
  case when date_add (first_date, interval 30 day) &gt;= trx_date and trx_date &gt;= first_date then 'after' end as after_30d,
from(
  select 
    t1.user_id,
    t1.first_date,
    t2.trx_date,
    t2.order_id,
    t2.gmv,
    t1.gmv
  from grab_first_user t1
  left join logistic_all_trans t2 
    on t1.user_id = t2.user_id
)</t>
  </si>
  <si>
    <t>with grab_first_user as(
  select 
    date as first_date, 
    user_id, 
    gmv, 
    order_id,
    row_number() over(partition by user_id order by datetime) rn_user
  from `momovn-prod.BU_ECOM.DLS_ALL_TRANS_V3_1`
  where (merchant = 'GRAB-ENDUSER') and 
  (date between '2023-10-01' and '2023-11-01')
  qualify rn_user = 1
), 
logistic_all_trans as (
  select distinct
    date as trx_date,
    user_id,
    order_id,
    gmv
  from `momovn-prod.BU_ECOM.DLS_ALL_TRANS_V3_1`
  where cate = 'LOGISTICS'
)
select *,
  case when date_sub (first_date, interval 30 day) &lt;= trx_date and trx_date &lt;= first_date then 'bef' end as before_30d,
  case when date_add (first_date, interval 30 day) &gt;= trx_date and trx_date &gt;= first_date then 'after' end as after_30d,
from(
  select 
    t1.user_id,
    t1.first_date,
    t2.trx_date,
    t2.order_id,
    t2.gmv,
    t1.gmv
  from grab_first_user t1
  left join logistic_all_trans t2 
    on t1.user_id = t2.user_id
)</t>
  </si>
  <si>
    <t xml:space="preserve">
WITH user_frequency AS (
  SELECT
    user_id,
    MONEY_SOURCE_NAME,
    COUNT(*) AS transaction_count,
    DATE_DIFF(MAX(date), MIN(date), DAY) AS date_range
  FROM `momovn-prod.BU_ECOM.DLS_ALL_TRANS_V3_1`
  WHERE DATE &gt;= '2024-01-01' AND CATE = 'APPLICATION STORE'
  GROUP BY 1,2
),
method_metrics AS (
  SELECT
    MONEY_SOURCE_NAME,
    COUNT(DISTINCT user_id) AS unique_users,
    AVG(transaction_count) AS avg_transactions,
    AVG(transaction_count / (date_range / 30.0)) AS avg_monthly_frequency
  FROM
    user_frequency
  GROUP BY 1
)
SELECT
  MONEY_SOURCE_NAME,
  unique_users,
  ROUND(avg_transactions, 2) AS avg_transactions,
  ROUND(avg_monthly_frequency, 2) AS avg_monthly_frequency
FROM
  method_metrics
ORDER BY
  avg_monthly_frequency DESC</t>
  </si>
  <si>
    <t xml:space="preserve">
WITH user_frequency AS (
  SELECT
    user_id,
    MONEY_SOURCE_NAME,
    COUNT(*) AS transaction_count,
    DATE_DIFF(MAX(date), MIN(date), DAY) AS date_range
  FROM `momovn-prod.BU_ECOM.DLS_ALL_TRANS_V3_1`
  WHERE DATE &gt;= '2024-01-01' AND CATE = 'APPLICATION STORE'
  GROUP BY 1,2
),
method_metrics AS (
  SELECT
    MONEY_SOURCE_NAME,
    COUNT(DISTINCT user_id) AS unique_users,
    AVG(transaction_count) AS avg_transactions,
    AVG(transaction_count / NULLIF(date_range / 30.0,0)) AS avg_monthly_frequency
  FROM
    user_frequency
  GROUP BY 1
)
SELECT
  MONEY_SOURCE_NAME,
  unique_users,
  ROUND(avg_transactions, 2) AS avg_transactions,
  ROUND(avg_monthly_frequency, 2) AS avg_monthly_frequency
FROM
  method_metrics
ORDER BY
  avg_monthly_frequency DESC</t>
  </si>
  <si>
    <t>SELECT 
  MONTH, 
  MERCHANT, 
  SUM(NET_REV )
FROM  `momovn-prod.BU_ECOM.DLS_ALL_TRANS_V3_1`
WHERE CATE = 'APPLICATION STORE' AND DATE &gt;= '2024-01-01'
GROUP BY 1,2
ORDER BY 1</t>
  </si>
  <si>
    <t>WITH user_activity AS (
  SELECT
    user_id,
    month,
    SUM(NET_REV) AS monthly_revenue,
    LEAD(month) OVER (PARTITION BY user_id ORDER BY month) AS next_month
  FROM `momovn-prod.BU_ECOM.DLS_ALL_TRANS_V3_1`
  WHERE MONTH &gt;= '2024-01-01' AND CATE = 'APPLICATION STORE' 
  GROUP BY 1,2
),
user_churn AS (
  SELECT
    month,
    COUNT(DISTINCT user_id) AS total_users,
    COUNT(DISTINCT CASE WHEN DATE_ADD(month, INTERVAL 1 MONTH) != next_month THEN user_id END) AS churned_users
  FROM user_activity
  GROUP BY month
),
revenue_data AS (
  SELECT
    month,
    SUM(monthly_revenue) AS total_revenue
  FROM user_activity
  GROUP BY month
)
SELECT
  uc.month,
  uc.total_users,
  uc.churned_users,
  (uc.churned_users / uc.total_users) AS churn_rate,
  rd.total_revenue AS monthly_revenue,
  rd.total_revenue / uc.total_users AS revenue_per_user
FROM user_churn uc
JOIN revenue_data rd ON uc.month = rd.month
ORDER BY uc.month</t>
  </si>
  <si>
    <t>SELECT COUNT(*)
FROM `momovn-prod.BU_ECOM.DLS_ALL_TRANS_V3_1`
WHERE DATE = '2024-09-20'</t>
  </si>
  <si>
    <t>SELECT COUNT(*)
FROM `momovn-prod.BU_ECOM.DLS_ALL_TRANS_V3_1`
WHERE DATE = '2024-09-23'</t>
  </si>
  <si>
    <t>SELECT * FROM `momovn-prod.BU_ECOM.DLS_ALL_TRANS_V3_1` WHERE DATE = "2024-09-01" LIMIT 1000</t>
  </si>
  <si>
    <t>SELECT * FROM `momovn-prod.BU_ECOM.DLS_ALL_TRANS_V3_1` WHERE DATE = "2024-09-23" LIMIT 1000</t>
  </si>
  <si>
    <t>SELECT * FROM `momovn-prod.BU_ECOM.DLS_ALL_TRANS_V3_1` WHERE DATE = "2024-09-27" LIMIT 1000</t>
  </si>
  <si>
    <t xml:space="preserve">
SELECT COUNT(*)
FROM `momovn-prod.BU_ECOM.DLS_ALL_TRANS_V3_1`
WHERE DATE = '2024-09-22'</t>
  </si>
  <si>
    <t xml:space="preserve">SELECT 
    USER_ID, 
    COUNT(DISTINCT CATE) AS usecase_count_2
  FROM `momovn-prod.BU_ECOM.DLS_ALL_TRANS_V3_1`	
  WHERE DATE BETWEEN '2024-09-23' AND DATE(CURRENT_DATE('+7'))
  GROUP BY 1
</t>
  </si>
  <si>
    <t xml:space="preserve">
select 
  DATE, USER_ID, ORDER_ID, GMV, SERVICE_CODE, MERCHANT, MONEY_SOURCE_TYPE, CITY, CITY_GROUP, AGE_GROUP, GENDER
FROM `momovn-prod.BU_ECOM.DLS_ALL_TRANS_V3_1`
where merchant = 'VIETLOTT SMS' and date &gt;= '2023-11-01' LIMIT 100; </t>
  </si>
  <si>
    <t>SELECT 
  DISTINCT MONEY_SOURCE_NAME
FROM `momovn-prod.BU_ECOM.DLS_ALL_TRANS_V3_1`</t>
  </si>
  <si>
    <t xml:space="preserve">  SELECT 
    DATE, 
    SUM(GMV)
  FROM `momovn-prod.BU_ECOM.DLS_ALL_TRANS_V3_1`
  WHERE MONTH = '2024-09-01' AND MERCHANT = 'LAZADA'
  AND USER_ID = 123883
  GROUP BY 1</t>
  </si>
  <si>
    <t xml:space="preserve">  SELECT 
    DATETIME, 
    USER_ID, 
    ORDER_ID, 
    GMV 
  FROM `momovn-prod.BU_ECOM.DLS_ALL_TRANS_V3_1`
  WHERE MONTH &gt;= '2024-01-01' AND MERCHANT = 'LAZADA' and USER_ID IN (23240147,41158271,33928694)</t>
  </si>
  <si>
    <t xml:space="preserve">  SELECT 
    DATETIME, 
    USER_ID, 
    ORDER_ID, 
    GMV 
  FROM `momovn-prod.BU_ECOM.DLS_ALL_TRANS_V3_1`
  WHERE MONTH &gt;= '2024-10-01' AND USER_ID IN (23240147,41158271,33928694) AND MERCHANT = 'LAZADA' </t>
  </si>
  <si>
    <t xml:space="preserve"> SELECT * FROM (
 SELECT 
    DATETIME, 
    USER_ID, 
    ORDER_ID, 
    GMV 
  FROM `momovn-prod.BU_ECOM.DLS_ALL_TRANS_V3_1`
  WHERE MONTH &gt;= '2024-01-01' AND MERCHANT = 'LAZADA'
 )
 WHERE USER_ID = 203072</t>
  </si>
  <si>
    <t xml:space="preserve"> SELECT * FROM (
 SELECT 
    DATETIME, 
    USER_ID, 
    ORDER_ID, 
    GMV 
  FROM `momovn-prod.BU_ECOM.DLS_ALL_TRANS_V3_1`
  WHERE MONTH &gt;= '2024-01-01' AND MERCHANT = 'LAZADA'
 )
 WHERE USER_ID = 332546</t>
  </si>
  <si>
    <t xml:space="preserve">  SELECT 
    DATETIME, 
    USER_ID, 
    ORDER_ID, 
    GMV 
  FROM `momovn-prod.BU_ECOM.DLS_ALL_TRANS_V3_1`
  WHERE MONTH &gt;= '2024-10-01' 
  -- AND MERCHANT = 'LAZADA' and USER_ID IN (23240147,41158271,33928694)</t>
  </si>
  <si>
    <t xml:space="preserve">  SELECT 
    DATETIME, 
    USER_ID, 
    ORDER_ID, 
    GMV 
  FROM `momovn-prod.BU_ECOM.DLS_ALL_TRANS_V3_1`
  WHERE MONTH &gt;= '2024-10-01' AND MERCHANT = 'LAZADA' AND USER_ID IN (23240147,41158271,33928694,72681440,85404869)</t>
  </si>
  <si>
    <t xml:space="preserve">WITH active_users AS (
  SELECT
    Month,
    COUNT(DISTINCT USER_ID) AS active_users
  FROM `momovn-prod.BU_ECOM.DLS_ALL_TRANS_V3_1`
  WHERE MONTH &gt;= '2024-01-01' AND CATE = 'APPLICATION STORE'
  GROUP BY 1
),
churned_users AS (
  SELECT
    T1.Month AS current_month,
    COUNT(DISTINCT T1.USER_ID) AS churned_users
  FROM
    `momovn-prod.BU_ECOM.DLS_ALL_TRANS_V3_1` T1
  LEFT JOIN `momovn-prod.BU_ECOM.DLS_ALL_TRANS_V3_1` T2
    ON T1.USER_ID = T2.USER_ID
    AND T1.CATE = T2.CATE
    AND DATE_TRUNC(DATE_ADD(CAST(T2.Month AS DATE), INTERVAL 1 MONTH), MONTH) = T1.Month
  WHERE
    T2.USER_ID IS NULL AND T1.CATE = 'APPLICATION STORE'
  GROUP BY 1
)
SELECT
  a.Month,
  a.active_users,
  c.churned_users,
  (c.churned_users / a.active_users) * 100 AS churn_rate,
  SUM(t.Net_REV) AS total_revenue
FROM
  active_users a
LEFT JOIN
  churned_users c
ON
  a.Month = c.current_month
JOIN
  `momovn-prod.BU_ECOM.DLS_ALL_TRANS_V3_1` t
ON
  a.Month = t.Month
GROUP BY
  a.Month, a.active_users, c.churned_users
ORDER BY
  a.Month;
</t>
  </si>
  <si>
    <t>WITH user_revenue AS (
  SELECT
    USER_ID,
    Month,
    Net_REV,
    LAG(Net_REV) OVER (PARTITION BY USER_ID ORDER BY Month) AS prev_month_rev
  FROM
    `momovn-prod.BU_ECOM.DLS_ALL_TRANS_V3_1`
  WHERE
    MONTH &gt;= '2024-01-01'
    AND CATE = 'APPLICATION STORE'
),
churn_data AS (
  SELECT
    Month,
    COUNT(DISTINCT CASE WHEN Net_REV = 0 AND prev_month_rev &gt; 0 THEN USER_ID END) AS churned_users,
    SUM(CASE WHEN Net_REV = 0 AND prev_month_rev &gt; 0 THEN prev_month_rev ELSE 0 END) AS lost_revenue,
    SUM(Net_REV) AS total_revenue
  FROM
    user_revenue
  GROUP BY
    Month
  ORDER BY
    Month
)
SELECT
  Month,
  churned_users,
  lost_revenue,
  total_revenue,
  ROUND(lost_revenue / LAG(total_revenue) OVER (ORDER BY Month), 4) AS revenue_churn_rate
FROM
  churn_data</t>
  </si>
  <si>
    <t>CREATE OR REPLACE TABLE `project-5400504384186300846.PUSH_NOTI_EMAIL.20241016_Ads_payment_churn_3M` AS 
WITH BASE AS
(
SELECT 
  MONTH,
  USER_ID, 
  SUM(GMV) AS GMV
FROM `momovn-prod.BU_ECOM.DLS_ALL_TRANS_V3_1`
WHERE CATE = 'ADS PAYMENT'
AND MONTH BETWEEN '2024-06-01' AND '2024-08-01'
GROUP BY 1,2
), 
CHURN AS 
(
SELECT 
  DISTINCT USER_ID
FROM `momovn-prod.BU_ECOM.DLS_ALL_TRANS_V3_1`
WHERE CATE = 'ADS PAYMENT'
AND MONTH &gt;= '2024-09-01'
)
SELECT
  DISTINCT T1.USER_ID
FROM BASE T1
LEFT JOIN CHURN T2 ON T1.USER_ID = T2.USER_ID
WHERE T1.GMV &gt; 3000000
AND T2.USER_ID IS NULL</t>
  </si>
  <si>
    <t>SELECT 
  COUNT(DISTINCT USER_ID)
FROM `momovn-prod.BU_ECOM.DLS_ALL_TRANS_V3_1`
WHERE MONTH &gt;= '2024-01-01' AND CATE = 'APPLICATION STORE'</t>
  </si>
  <si>
    <t xml:space="preserve">
WITH BASE AS
(
SELECT 
  MONTH,
  USER_ID, 
  SUM(GMV) AS GMV
FROM `momovn-prod.BU_ECOM.DLS_ALL_TRANS_V3_1`
WHERE CATE = 'ADS PAYMENT'
AND MONTH BETWEEN '2024-06-01' AND '2024-08-01'
GROUP BY 1,2
), 
CHURN AS 
(
SELECT 
  DISTINCT USER_ID
FROM `momovn-prod.BU_ECOM.DLS_ALL_TRANS_V3_1`
WHERE CATE = 'ADS PAYMENT'
AND MONTH &gt;= '2024-09-01'
)
SELECT
  DISTINCT T1.USER_ID
FROM BASE T1
LEFT JOIN CHURN T2 ON T1.USER_ID = T2.USER_ID
WHERE T1.GMV &gt; 3000000
AND T2.USER_ID IS NULL</t>
  </si>
  <si>
    <t xml:space="preserve">SELECT 
  COUNT(*) as total_transactions
FROM 
  `momovn-prod.BU_ECOM.DLS_ALL_TRANS_V3_1`
WHERE 
  DATE BETWEEN '2024-10-28' AND '2024-11-03'
  AND CATE = 'ONLINE PAYMENT'
</t>
  </si>
  <si>
    <t xml:space="preserve">  SELECT 
    DATETIME, 
    USER_ID, 
    ORDER_ID, 
    GMV 
  FROM `momovn-prod.BU_ECOM.DLS_ALL_TRANS_V3_1`
  WHERE DATE &gt;= '2024-01-01' AND MERCHANT = 'LAZADA'
  ORDER BY 1</t>
  </si>
  <si>
    <t xml:space="preserve">  SELECT 
    DATETIME, 
    USER_ID, 
    ORDER_ID, 
    GMV 
  FROM `momovn-prod.BU_ECOM.DLS_ALL_TRANS_V3_1`
  WHERE MONTH = '2024-01-01' AND MERCHANT = 'LAZADA'
  ORDER BY 1</t>
  </si>
  <si>
    <t xml:space="preserve">  SELECT 
    DATETIME, 
    USER_ID, 
    ORDER_ID, 
    GMV 
  FROM `momovn-prod.BU_ECOM.DLS_ALL_TRANS_V3_1`
  WHERE MONTH = '2024-01-01' AND MERCHANT = 'LAZADA'
  AND USER_ID IN (798841,84801334,84803720,85025497)
  ORDER BY 1</t>
  </si>
  <si>
    <t xml:space="preserve">select distinct SERVICE_CODE, CATE, MERCHANT
from `momovn-prod.BU_ECOM.DLS_ALL_TRANS_V3_1` </t>
  </si>
  <si>
    <t>SELECT distinct service_code 
FROM `momovn-prod.BU_ECOM.DLS_ALL_TRANS_V3_1` 
WHERE MERCHANT = 'GRAB-ENDUSER'</t>
  </si>
  <si>
    <t xml:space="preserve">
select 
  DATE, USER_ID, ORDER_ID, GMV, SERVICE_CODE, MERCHANT, MONEY_SOURCE_NAME, CITY, AGE_GROUP, GENDER
FROM `momovn-prod.BU_ECOM.DLS_ALL_TRANS_V3_1`
where merchant = 'VIETLOTT SMS' and date &gt;= '2023-11-01' LIMIT 100; </t>
  </si>
  <si>
    <t xml:space="preserve">
select 
  DATE, USER_ID, ORDER_ID, GMV, SERVICE_CODE, MERCHANT, MONEY_SOURCE_NAME, CITY, AGE_GROUP, GENDER
FROM `momovn-prod.BU_ECOM.DLS_ALL_TRANS_V3_1`
where merchant like ('%VIETLOTT%') and date &gt;= '2023-11-01' LIMIT 100; </t>
  </si>
  <si>
    <t xml:space="preserve">
select 
  DATE, USER_ID, ORDER_ID, GMV, SERVICE_CODE, MERCHANT, MONEY_SOURCE_NAME, CITY, CITY_GROUP, AGE_GROUP, GENDER
FROM `momovn-prod.BU_ECOM.DLS_ALL_TRANS_V3_1`
where merchant = 'VIETLOTT SMS' and date &gt;= '2023-11-01' LIMIT 100; </t>
  </si>
  <si>
    <t xml:space="preserve">
select 
  DATE, USER_PAYMENT, TRANS, GMV, SERVICE_CODE, MERCHANT, MONEY_SOURCE_TYPE, CITY, CITY_GROUP, AGE_GROUP, GENDER
FROM `momovn-prod.BU_ECOM.DLS_ALL_TRANS_V3_1`
where merchant = 'VIETLOTT SMS' and date &gt;= '2023-11-01' LIMIT 100; </t>
  </si>
  <si>
    <t>select USER_ID, 
ORDER_ID
from `momovn-prod.BU_ECOM.DLS_ALL_TRANS_V3_1`
WHERE ORDER_ID = 70062441887</t>
  </si>
  <si>
    <t>SELECT DISTINCT CATE, MERCHANT
FROM `momovn-prod.BU_ECOM.DLS_ALL_TRANS_V3_1`
WHERE MERCHANT LIKE "%TIKTOK%"</t>
  </si>
  <si>
    <t>WITH user_activity AS (
    SELECT 
        USER_ID,
        DATE AS activity_date,
        MONTH AS cohort_month
    FROM `momovn-prod.BU_ECOM.DLS_ALL_TRANS_V3_1` 
    WHERE DATE &gt;= '2024-06-01' 
      AND CATE = 'APPLICATION STORE' 
),
cohort_size AS (
    SELECT 
        cohort_month,
        COUNT(DISTINCT USER_ID) AS users
    FROM user_activity
    GROUP BY 1
),
cumulative_retention AS (
    SELECT 
        cohort_month,
        activity_date,
        COUNT(user_id) OVER (
            PARTITION BY cohort_month 
            ORDER BY activity_date
            ROWS BETWEEN UNBOUNDED PRECEDING AND CURRENT ROW
        ) AS cumulative_unique_users
    FROM user_activity
)
SELECT 
    c.cohort_month,
    r.activity_date,
    c.users AS cohort_size,
    r.cumulative_unique_users AS active_users,
    r.cumulative_unique_users * 100.0 / c.users AS retention_rate,
    DATE_DIFF(c.cohort_month, r.activity_date,DAY) + 1 AS days_since_cohort_start
FROM cohort_size c
LEFT JOIN cumulative_retention r ON c.cohort_month = r.cohort_month
WHERE r.activity_date &gt;= c.cohort_month
ORDER BY 1,2</t>
  </si>
  <si>
    <t>WITH user_activity AS (
    SELECT 
        user_id,
        DATE AS activity_date,
        MONTH AS cohort_month
    FROM `momovn-prod.BU_ECOM.DLS_ALL_TRANS_V3_1`
    WHERE DATE &gt;= '2024-08-01' AND  CATE = 'APPLICATION STORE'
),
cohort_size AS (
    SELECT 
        cohort_month,
        COUNT(DISTINCT user_id) AS users
    FROM user_activity
    GROUP BY cohort_month
),
cumulative_retention AS (
    SELECT 
        cohort_month,
        activity_date,
        COUNT(user_id) OVER (
            PARTITION BY cohort_month 
            ORDER BY activity_date
            ROWS BETWEEN UNBOUNDED PRECEDING AND CURRENT ROW
        ) AS cumulative_unique_users
    FROM user_activity
)
SELECT 
    c.cohort_month,
    r.activity_date,
    c.users AS cohort_size,
    r.cumulative_unique_users AS active_users,
    r.cumulative_unique_users * 100.0 / c.users AS retention_rate,
    DATE_DIFF(c.cohort_month, r.activity_date,DAY) + 1 AS days_since_cohort_start
FROM cohort_size c
LEFT JOIN cumulative_retention r ON c.cohort_month = r.cohort_month
WHERE r.activity_date &gt;= c.cohort_month
ORDER BY c.cohort_month, r.activity_date;</t>
  </si>
  <si>
    <t>WITH user_activity AS (
    SELECT 
        user_id,
        DATE AS activity_date,
        MONTH AS cohort_month
    FROM `momovn-prod.BU_ECOM.DLS_ALL_TRANS_V3_1`
),
cohort_size AS (
    SELECT 
        cohort_month,
        COUNT(DISTINCT user_id) AS users
    FROM user_activity
    GROUP BY cohort_month
),
cumulative_retention AS (
    SELECT 
        cohort_month,
        activity_date,
        COUNT(user_id) OVER (
            PARTITION BY cohort_month 
            ORDER BY activity_date
            ROWS BETWEEN UNBOUNDED PRECEDING AND CURRENT ROW
        ) AS cumulative_unique_users
    FROM user_activity
)
SELECT 
    c.cohort_month,
    r.activity_date,
    c.users AS cohort_size,
    r.cumulative_unique_users AS active_users,
    r.cumulative_unique_users * 100.0 / c.users AS retention_rate,
    DATE_DIFF(c.cohort_month, r.activity_date,DAY) + 1 AS days_since_cohort_start
FROM cohort_size c
LEFT JOIN cumulative_retention r ON c.cohort_month = r.cohort_month
WHERE r.activity_date &gt;= c.cohort_month
ORDER BY c.cohort_month, r.activity_date;</t>
  </si>
  <si>
    <t>WITH user_activity AS (
    SELECT 
        user_id,
        DATE AS activity_date,
        month AS cohort_month
    FROM `momovn-prod.BU_ECOM.DLS_ALL_TRANS_V3_1`
    WHERE MONTH &gt;= '2024-06-01'
),
cohort_size AS (
    SELECT 
        cohort_month,
        COUNT(DISTINCT user_id) AS users
    FROM user_activity
    GROUP BY cohort_month
),
daily_active_users AS (
    SELECT DISTINCT
        cohort_month,
        activity_date,
        user_id
    FROM user_activity
),
cumulative_retention AS (
    SELECT 
        d1.cohort_month,
        d1.activity_date,
        COUNT(DISTINCT d2.user_id) AS cumulative_unique_users
    FROM daily_active_users d1
    JOIN daily_active_users d2 
        ON d1.cohort_month = d2.cohort_month 
        AND d2.activity_date &lt;= d1.activity_date
    GROUP BY d1.cohort_month, d1.activity_date
)
SELECT 
    c.cohort_month,
    r.activity_date,
    c.users AS cohort_size,
    r.cumulative_unique_users AS active_users,
    r.cumulative_unique_users * 100.0 / c.users AS retention_rate,
    DATE_DIFF(c.cohort_month, r.activity_date,day) + 1 AS days_since_cohort_start
FROM cohort_size c
LEFT JOIN cumulative_retention r ON c.cohort_month = r.cohort_month
WHERE r.activity_date &gt;= c.cohort_month
ORDER BY c.cohort_month, r.activity_date;</t>
  </si>
  <si>
    <t>WITH user_activity AS (
    SELECT 
        user_id,
        DATE AS activity_date,
        month AS cohort_month
    FROM `momovn-prod.BU_ECOM.DLS_ALL_TRANS_V3_1`
    WHERE MONTH &gt;= '2024-08-01'
),
cohort_size AS (
    SELECT 
        cohort_month,
        COUNT(DISTINCT user_id) AS users
    FROM user_activity
    GROUP BY cohort_month
),
daily_active_users AS (
    SELECT DISTINCT
        cohort_month,
        activity_date,
        user_id
    FROM user_activity
),
cumulative_retention AS (
    SELECT 
        d1.cohort_month,
        d1.activity_date,
        COUNT(DISTINCT d2.user_id) AS cumulative_unique_users
    FROM daily_active_users d1
    JOIN daily_active_users d2 
        ON d1.cohort_month = d2.cohort_month 
        AND d2.activity_date &lt;= d1.activity_date
    GROUP BY d1.cohort_month, d1.activity_date
)
SELECT 
    c.cohort_month,
    r.activity_date,
    c.users AS cohort_size,
    r.cumulative_unique_users AS active_users,
    r.cumulative_unique_users * 100.0 / c.users AS retention_rate,
    DATE_DIFF(c.cohort_month, r.activity_date,day) + 1 AS days_since_cohort_start
FROM cohort_size c
LEFT JOIN cumulative_retention r ON c.cohort_month = r.cohort_month
WHERE r.activity_date &gt;= c.cohort_month
ORDER BY c.cohort_month, r.activity_date;</t>
  </si>
  <si>
    <t xml:space="preserve">WITH user_activity AS (
    SELECT 
        user_id,
        DATE AS activity_date,
        month AS cohort_month
    FROM `momovn-prod.BU_ECOM.DLS_ALL_TRANS_V3_1`
    WHERE MONTH &gt;= '2024-08-01' 
        AND CATE = 'APPLICATION STORE'
),
cohort_size AS (
    SELECT 
        cohort_month,
        COUNT(DISTINCT user_id) AS users
    FROM user_activity
    GROUP BY cohort_month
),
daily_active_users AS (
    SELECT 
        cohort_month,
        activity_date,
        user_id
    FROM user_activity
    GROUP BY cohort_month, activity_date, user_id
),
cumulative_retention AS (
    SELECT 
        d1.cohort_month,
        d1.activity_date,
        COUNT(DISTINCT d2.user_id) AS cumulative_unique_users
    FROM daily_active_users d1
    JOIN daily_active_users d2 
        ON d1.cohort_month = d2.cohort_month 
        AND d2.activity_date &lt;= d1.activity_date
    GROUP BY d1.cohort_month, d1.activity_date
)
SELECT 
    c.cohort_month,
    r.activity_date,
    c.users AS cohort_size,
    r.cumulative_unique_users AS active_users,
    r.cumulative_unique_users * 100.0 / c.users AS retention_rate,
    DATE_DIFF(r.activity_date, c.cohort_month, day) + 1 AS days_since_cohort_start
FROM cohort_size c
LEFT JOIN cumulative_retention r 
    ON c.cohort_month = r.cohort_month
WHERE r.activity_date &gt;= c.cohort_month
ORDER BY c.cohort_month, r.activity_date;
</t>
  </si>
  <si>
    <t>WITH user_activity AS (
    SELECT 
        user_id,
        DATE AS activity_date,
        month AS cohort_month
    FROM `momovn-prod.BU_ECOM.DLS_ALL_TRANS_V3_1`
    WHERE MONTH &gt;= '2024-08-01' and CATE = 'APPLICATION STORE' 
),
cohort_size AS (
    SELECT 
        cohort_month,
        COUNT(DISTINCT user_id) AS users
    FROM user_activity
    GROUP BY cohort_month
),
daily_active_users AS (
    SELECT DISTINCT
        cohort_month,
        activity_date,
        user_id
    FROM user_activity
),
cumulative_retention AS (
    SELECT 
        d1.cohort_month,
        d1.activity_date,
        COUNT(DISTINCT d2.user_id) AS cumulative_unique_users
    FROM daily_active_users d1
    JOIN daily_active_users d2 
        ON d1.cohort_month = d2.cohort_month 
        AND d2.activity_date &lt;= d1.activity_date
    GROUP BY d1.cohort_month, d1.activity_date
)
SELECT 
    c.cohort_month,
    r.activity_date,
    c.users AS cohort_size,
    r.cumulative_unique_users AS active_users,
    r.cumulative_unique_users * 100.0 / c.users AS retention_rate,
    DATE_DIFF(c.cohort_month, r.activity_date,day) + 1 AS days_since_cohort_start
FROM cohort_size c
LEFT JOIN cumulative_retention r ON c.cohort_month = r.cohort_month
WHERE r.activity_date &gt;= c.cohort_month
ORDER BY c.cohort_month, r.activity_date;</t>
  </si>
  <si>
    <t xml:space="preserve">WITH user_activity AS (
    SELECT 
        user_id,
        DATE AS activity_date,
        month AS cohort_month
    FROM `momovn-prod.BU_ECOM.DLS_ALL_TRANS_V3_1`
    WHERE month &gt;= '2024-08-01'
        AND CATE = 'APPLICATION STORE'
),
cohort_size AS (
    SELECT 
        cohort_month,
        COUNT(DISTINCT user_id) AS users
    FROM user_activity
    GROUP BY cohort_month
),
daily_active_users AS (
    SELECT 
        cohort_month,
        activity_date,
        user_id,
        ROW_NUMBER() OVER (PARTITION BY cohort_month, activity_date, user_id ORDER BY activity_date) AS user_activity_rank
    FROM user_activity
),
cumulative_retention AS (
    SELECT 
        cohort_month,
        activity_date,
        COUNT(DISTINCT user_id) OVER (PARTITION BY cohort_month) AS cumulative_unique_users
    FROM daily_active_users
)
SELECT 
    c.cohort_month,
    r.activity_date,
    c.users AS cohort_size,
    r.cumulative_unique_users AS active_users,
    r.cumulative_unique_users * 100.0 / c.users AS retention_rate,
    DATE_DIFF(r.activity_date, c.cohort_month, day) + 1 AS days_since_cohort_start
FROM cohort_size c
LEFT JOIN cumulative_retention r 
    ON c.cohort_month = r.cohort_month
WHERE r.activity_date &gt;= c.cohort_month
ORDER BY c.cohort_month, r.activity_date;
</t>
  </si>
  <si>
    <t xml:space="preserve">WITH user_activity AS (
    SELECT DISTINCT
        USER_ID,
        DATE AS activity_date,
        DATE_TRUNC(DATE, MONTH) AS cohort_month
    FROM `momovn-prod.BU_ECOM.DLS_ALL_TRANS_V3_1`
    WHERE DATE &gt;= '2024-06-01'
      AND CATE = 'APPLICATION STORE'
),
cohort_size AS (
    SELECT 
        cohort_month,
        COUNT(DISTINCT USER_ID) AS users
    FROM user_activity
    GROUP BY cohort_month
),
distinct_users_per_day AS (
    SELECT 
        cohort_month,
        activity_date,
        COUNT(DISTINCT USER_ID) AS unique_users_per_day
    FROM user_activity
    GROUP BY cohort_month, activity_date
),
cumulative_retention AS (
    SELECT 
        cohort_month,
        activity_date,
        SUM(unique_users_per_day) OVER (
            PARTITION BY cohort_month 
            ORDER BY activity_date
            ROWS BETWEEN UNBOUNDED PRECEDING AND CURRENT ROW
        ) AS cumulative_unique_users
    FROM distinct_users_per_day
)
SELECT 
    c.cohort_month,
    r.activity_date,
    c.users AS cohort_size,
    r.cumulative_unique_users AS active_users,
    r.cumulative_unique_users * 100.0 / c.users AS retention_rate,
    DATE_DIFF(r.activity_date, c.cohort_month, DAY) + 1 AS days_since_cohort_start
FROM cohort_size c
LEFT JOIN cumulative_retention r 
    ON c.cohort_month = r.cohort_month
ORDER BY 1, 2;
</t>
  </si>
  <si>
    <t xml:space="preserve">WITH user_activity AS (
    SELECT DISTINCT
        USER_ID,
        DATE AS activity_date,
        DATE_TRUNC(DATE, MONTH) AS cohort_month
    FROM `momovn-prod.BU_ECOM.DLS_ALL_TRANS_V3_1`
    WHERE DATE &gt;= '2024-06-01'
      AND CATE = 'APPLICATION STORE'
),
cohort_size AS (
    SELECT 
        cohort_month,
        COUNT(DISTINCT USER_ID) AS users
    FROM user_activity
    GROUP BY cohort_month
),
distinct_users AS (
    -- Get unique users per cohort per day
    SELECT 
        cohort_month,
        activity_date,
        USER_ID
    FROM user_activity
    GROUP BY cohort_month, activity_date, USER_ID
),
distinct_users_per_day AS (
    -- Count distinct users per day
    SELECT 
        cohort_month,
        activity_date,
        COUNT(DISTINCT USER_ID) AS unique_users_per_day
    FROM distinct_users
    GROUP BY cohort_month, activity_date
),
cumulative_retention AS (
    -- Cumulative sum of distinct users over time
    SELECT 
        cohort_month,
        activity_date,
        SUM(unique_users_per_day) OVER (
            PARTITION BY cohort_month 
            ORDER BY activity_date
            ROWS BETWEEN UNBOUNDED PRECEDING AND CURRENT ROW
        ) AS cumulative_unique_users
    FROM distinct_users_per_day
)
SELECT 
    c.cohort_month,
    r.activity_date,
    c.users AS cohort_size,
    r.cumulative_unique_users AS active_users,
    r.cumulative_unique_users * 100.0 / c.users AS retention_rate,
    DATE_DIFF(r.activity_date, c.cohort_month, DAY) + 1 AS days_since_cohort_start
FROM cohort_size c
LEFT JOIN cumulative_retention r 
    ON c.cohort_month = r.cohort_month
ORDER BY 1, 2;
</t>
  </si>
  <si>
    <t>WITH user_activity AS (
    SELECT DISTINCT
        USER_ID,
        DATE AS activity_date,
        DATE_TRUNC(DATE, MONTH) AS cohort_month
    FROM `momovn-prod.BU_ECOM.DLS_ALL_TRANS_V3_1` 
    WHERE DATE &gt;= '2024-06-01'
      AND CATE = 'APPLICATION STORE'
),
cohort_size AS (
    SELECT 
        cohort_month,
        COUNT(DISTINCT USER_ID) AS users
    FROM user_activity
    GROUP BY cohort_month
),
daily_active_users AS (
    SELECT
        cohort_month,
        activity_date,
        COUNT(DISTINCT USER_ID) AS daily_users
    FROM user_activity
    GROUP BY cohort_month, activity_date
),
cumulative_retention AS (
    SELECT 
        cohort_month,
        activity_date,
        SUM(daily_users) OVER (
            PARTITION BY cohort_month 
            ORDER BY activity_date
            ROWS BETWEEN UNBOUNDED PRECEDING AND CURRENT ROW
        ) AS cumulative_unique_users
    FROM daily_active_users
)
SELECT 
    c.cohort_month,
    r.activity_date,
    c.users AS cohort_size,
    r.cumulative_unique_users AS active_users,
    SAFE_DIVIDE(r.cumulative_unique_users * 100.0, c.users) AS retention_rate,
    DATE_DIFF(r.activity_date, c.cohort_month, DAY) + 1 AS days_since_cohort_start
FROM cohort_size c
LEFT JOIN cumulative_retention r 
    ON c.cohort_month = r.cohort_month
WHERE r.activity_date &gt;= c.cohort_month
ORDER BY c.cohort_month, r.activity_date;</t>
  </si>
  <si>
    <t>WITH user_activity AS (
    SELECT DISTINCT
        USER_ID,
        DATE AS activity_date,
        DATE_TRUNC(DATE, MONTH) AS cohort_month
    FROM `momovn-prod.BU_ECOM.DLS_ALL_TRANS_V3_1` 
    WHERE DATE &gt;= '2024-06-01'
      AND CATE = 'APPLICATION STORE'
),
cohort_size AS (
    SELECT 
        cohort_month,
        COUNT(DISTINCT USER_ID) AS users
    FROM user_activity
    GROUP BY cohort_month
),
user_retention AS (
    SELECT
        a.cohort_month,
        a.activity_date,
        COUNT(DISTINCT a.USER_ID) AS active_users
    FROM user_activity a
    JOIN user_activity b ON a.USER_ID = b.USER_ID AND a.cohort_month = b.cohort_month
    WHERE a.activity_date &gt;= b.activity_date
    GROUP BY a.cohort_month, a.activity_date
)
SELECT 
    c.cohort_month,
    r.activity_date,
    c.users AS cohort_size,
    r.active_users,
    SAFE_DIVIDE(r.active_users * 100.0, c.users) AS retention_rate,
    DATE_DIFF(r.activity_date, c.cohort_month, DAY) + 1 AS days_since_cohort_start
FROM cohort_size c
LEFT JOIN user_retention r ON c.cohort_month = r.cohort_month
WHERE r.activity_date &gt;= c.cohort_month
ORDER BY c.cohort_month, r.activity_date;</t>
  </si>
  <si>
    <t>WITH user_activity AS (
    SELECT DISTINCT
        USER_ID,
        DATE AS activity_date,
        DATE_TRUNC(DATE, MONTH) AS cohort_month
    FROM `momovn-prod.BU_ECOM.DLS_ALL_TRANS_V3_1` 
    WHERE DATE &gt;= '2024-08-01'
      AND CATE = 'APPLICATION STORE'
),
cohort_size AS (
    SELECT 
        cohort_month,
        COUNT(DISTINCT USER_ID) AS users
    FROM user_activity
    GROUP BY cohort_month
),
cumulative_retention AS (
    SELECT 
        a.cohort_month,
        a.activity_date,
        COUNT(DISTINCT a.USER_ID) AS cumulative_unique_users
    FROM user_activity a
    JOIN user_activity b
    ON a.USER_ID = b.USER_ID AND a.cohort_month = b.cohort_month AND b.activity_date &lt;= a.activity_date
    GROUP BY a.cohort_month, a.activity_date
)
SELECT 
    c.cohort_month,
    r.activity_date,
    c.users AS cohort_size,
    r.cumulative_unique_users AS active_users,
    SAFE_DIVIDE(r.cumulative_unique_users * 100.0, c.users) AS retention_rate,
    DATE_DIFF(r.activity_date, c.cohort_month, DAY) + 1 AS days_since_cohort_start
FROM cohort_size c
LEFT JOIN cumulative_retention r 
    ON c.cohort_month = r.cohort_month
WHERE r.activity_date &gt;= c.cohort_month
ORDER BY c.cohort_month, r.activity_date;</t>
  </si>
  <si>
    <t>WITH user_activity AS (
    SELECT DISTINCT
        USER_ID,
        DATE AS activity_date,
        MONTH AS cohort_month
    FROM `momovn-prod.BU_ECOM.DLS_ALL_TRANS_V3_1` 
    WHERE DATE &gt;= '2024-06-01' 
      AND CATE = 'APPLICATION STORE' 
)
    -- SELECT 
    --     cohort_month,
    --     COUNT(DISTINCT USER_ID) AS users
    -- FROM user_activity
    -- GROUP BY 1
    -- distinct_users_per_day AS (
    SELECT 
        cohort_month,
        activity_date,
        COUNT(DISTINCT user_id) AS unique_users_per_day
    FROM user_activity
    GROUP BY 1,2</t>
  </si>
  <si>
    <t>WITH user_activity AS (
    SELECT DISTINCT
        USER_ID,
        DATE AS activity_date,
        MONTH AS cohort_month
    FROM `momovn-prod.BU_ECOM.DLS_ALL_TRANS_V3_1` 
    WHERE DATE &gt;= '2024-06-01' 
      AND CATE = 'APPLICATION STORE' 
)
    -- SELECT 
    --     cohort_month,
    --     COUNT(DISTINCT USER_ID) AS users
    -- FROM user_activity
    -- GROUP BY 1
    -- distinct_users_per_day AS (
    SELECT 
        activity_date,
        COUNT(DISTINCT user_id) AS unique_users_per_day
    FROM user_activity
    GROUP BY 1
    ORDER BY 1</t>
  </si>
  <si>
    <t>WITH user_activity AS (
    SELECT DISTINCT
        USER_ID,
        DATE AS activity_date,
        MONTH AS cohort_month
    FROM `momovn-prod.BU_ECOM.DLS_ALL_TRANS_V3_1` 
    WHERE DATE &gt;= '2024-06-01' 
      AND CATE = 'APPLICATION STORE' 
)
    -- SELECT 
    --     cohort_month,
    --     COUNT(DISTINCT USER_ID) AS users
    -- FROM user_activity
    -- GROUP BY 1
    -- distinct_users_per_day AS (
    SELECT 
        cohort_month,
        activity_date,
        COUNT(DISTINCT user_id) AS unique_users_per_day
    FROM user_activity
    GROUP BY cohort_month, activity_date</t>
  </si>
  <si>
    <t>WITH user_activity AS (
    SELECT DISTINCT
        USER_ID,
        DATE AS activity_date,
        MONTH AS cohort_month
    FROM `momovn-prod.BU_ECOM.DLS_ALL_TRANS_V3_1` 
    WHERE DATE &gt;= '2024-06-01' 
      AND CATE = 'APPLICATION STORE' 
)
    -- SELECT 
    --     cohort_month,
    --     COUNT(DISTINCT USER_ID) AS users
    -- FROM user_activity
    -- GROUP BY 1
    -- distinct_users_per_day AS (
    SELECT 
        cohort_month,
        activity_date,
        COUNT(DISTINCT user_id) AS unique_users_per_day
    FROM user_activity
    GROUP BY 1,2
    ORDER BY 1,2</t>
  </si>
  <si>
    <t>WITH user_activity AS (
    SELECT DISTINCT
        USER_ID,
        DATE AS activity_date,
        MONTH AS cohort_month
    FROM `momovn-prod.BU_ECOM.DLS_ALL_TRANS_V3_1` 
    WHERE DATE &gt;= '2024-06-01' 
      AND CATE = 'APPLICATION STORE' 
)
    -- SELECT 
    --     cohort_month,
    --     COUNT(DISTINCT USER_ID) AS users
    -- FROM user_activity
    -- GROUP BY 1
    -- distinct_users_per_day AS (
    SELECT 
        activity_date,
        COUNT(DISTINCT user_id) AS unique_users_per_day
    FROM user_activity
    GROUP BY 1,2
    ORDER BY 1,2</t>
  </si>
  <si>
    <t>WITH user_activity AS (
    SELECT DISTINCT
        USER_ID,
        DATE AS activity_date,
        MONTH AS cohort_month
    FROM `momovn-prod.BU_ECOM.DLS_ALL_TRANS_V3_1` 
    WHERE DATE &gt;= '2024-06-01' 
      AND CATE = 'APPLICATION STORE' 
)
    SELECT 
        cohort_month,
        COUNT(DISTINCT USER_ID) AS users
    FROM user_activity
    GROUP BY 1</t>
  </si>
  <si>
    <t>WITH user_activity AS (
    SELECT DISTINCT
        USER_ID,
        DATE AS activity_date,
        MONTH AS cohort_month
    FROM `momovn-prod.BU_ECOM.DLS_ALL_TRANS_V3_1` 
    WHERE DATE &gt;= '2024-06-01' 
      AND CATE = 'APPLICATION STORE' 
),
cohort_size AS (
    SELECT 
        cohort_month,
        COUNT(DISTINCT USER_ID) AS users
    FROM user_activity
    GROUP BY 1
),
distinct_users_per_day AS (
    SELECT 
        cohort_month,
        activity_date,
        COUNT(DISTINCT user_id) AS unique_users_per_day
    FROM user_activity
    GROUP BY cohort_month, activity_date
),
cumulative_retention AS (
    SELECT 
        cohort_month,
        activity_date,
        SUM(unique_users_per_day) OVER (
            PARTITION BY cohort_month 
            ORDER BY activity_date
            ROWS BETWEEN UNBOUNDED PRECEDING AND CURRENT ROW
        ) AS cumulative_unique_users
    FROM distinct_users_per_day
)
SELECT 
    c.cohort_month,
    r.activity_date,
    EXTRACT(DAY FROM r.activity_date),
    c.users AS cohort_size,
    r.cumulative_unique_users AS active_users,
    r.cumulative_unique_users * 100.0 / c.users AS retention_rate,
    DATE_DIFF(c.cohort_month, r.activity_date,DAY) + 1 AS days_since_cohort_start
FROM cohort_size c
LEFT JOIN cumulative_retention r ON c.cohort_month = r.cohort_month
WHERE r.activity_date &gt;= c.cohort_month
ORDER BY 1,2</t>
  </si>
  <si>
    <t>WITH user_activity AS (
    SELECT DISTINCT
        USER_ID,
        DATE AS activity_date,
        MONTH AS cohort_month
    FROM `momovn-prod.BU_ECOM.DLS_ALL_TRANS_V3_1` 
    WHERE DATE &gt;= '2024-06-01' 
      AND CATE = 'APPLICATION STORE' 
),
cohort_size AS (
    SELECT 
        cohort_month,
        COUNT(DISTINCT USER_ID) AS users
    FROM user_activity
    GROUP BY 1
),
cumulative_retention AS (
    SELECT 
        cohort_month,
        activity_date,
        COUNT(user_id) OVER (
            PARTITION BY cohort_month 
            ORDER BY activity_date
            ROWS BETWEEN UNBOUNDED PRECEDING AND CURRENT ROW
        ) AS cumulative_unique_users
    FROM user_activity
)
SELECT 
    c.cohort_month,
    r.activity_date,
    c.users AS cohort_size,
    r.cumulative_unique_users AS active_users,
    r.cumulative_unique_users * 100.0 / c.users AS retention_rate,
    DATE_DIFF(c.cohort_month, r.activity_date,DAY) + 1 AS days_since_cohort_start
FROM cohort_size c
LEFT JOIN cumulative_retention r ON c.cohort_month = r.cohort_month
WHERE r.activity_date &gt;= c.cohort_month
ORDER BY 1,2</t>
  </si>
  <si>
    <t>WITH user_activity AS (
    SELECT DISTINCT
        USER_ID,
        DATE AS activity_date,
        MONTH AS cohort_month
    FROM `momovn-prod.BU_ECOM.DLS_ALL_TRANS_V3_1` 
    WHERE DATE &gt;= '2024-06-01' 
      AND CATE = 'APPLICATION STORE' 
),
cohort_size AS (
    SELECT 
        cohort_month,
        COUNT(DISTINCT USER_ID) AS users
    FROM user_activity
    GROUP BY 1
),
distinct_users_per_day AS (
    SELECT 
        cohort_month,
        activity_date,
        COUNT(DISTINCT user_id) AS unique_users_per_day
    FROM user_activity
    GROUP BY cohort_month, activity_date
),
cumulative_retention AS (
    SELECT 
        cohort_month,
        activity_date,
        SUM(unique_users_per_day) OVER (
            PARTITION BY cohort_month 
            ORDER BY activity_date
            ROWS BETWEEN UNBOUNDED PRECEDING AND CURRENT ROW
        ) AS cumulative_unique_users
    FROM distinct_users_per_day
)
SELECT 
    c.cohort_month,
    r.activity_date,
    c.users AS cohort_size,
    r.cumulative_unique_users AS active_users,
    r.cumulative_unique_users * 100.0 / c.users AS retention_rate,
    DATE_DIFF(c.cohort_month, r.activity_date,DAY) + 1 AS days_since_cohort_start
FROM cohort_size c
LEFT JOIN cumulative_retention r ON c.cohort_month = r.cohort_month
WHERE r.activity_date &gt;= c.cohort_month
ORDER BY 1,2</t>
  </si>
  <si>
    <t>WITH user_activity AS (
  SELECT
    user_id,
    DATE(date) AS activity_date,
    DATE_TRUNC(date, MONTH) AS cohort_month
  FROM `momovn-prod.BU_ECOM.DLS_ALL_TRANS_V3_1`
    WHERE DATE &gt;= '2024-06-01'
      AND CATE = 'APPLICATION STORE'
),
daily_active_users AS (
  SELECT
    cohort_month,
    activity_date,
    COUNT(DISTINCT user_id) AS active_users
  FROM user_activity
  GROUP BY cohort_month, activity_date
),
cohort_size AS (
  SELECT
    cohort_month,
    COUNT(DISTINCT user_id) AS total_users
  FROM user_activity
  GROUP BY cohort_month
),
retention_calculation AS (
  SELECT
    c.cohort_month,
    d.activity_date,
    d.active_users,
    c.total_users,
    LAG(d.active_users, 1, 0) OVER (
      PARTITION BY c.cohort_month
      ORDER BY d.activity_date
    ) AS previous_day_active,
    CASE 
      WHEN d.activity_date = c.cohort_month THEN d.active_users
      ELSE LEAST(
        LAG(d.active_users, 1, 0) OVER (
          PARTITION BY c.cohort_month
          ORDER BY d.activity_date
        ),
        d.active_users
      )
    END AS retained_users
  FROM daily_active_users d
  JOIN cohort_size c ON d.cohort_month = c.cohort_month
),
cumulative_retention AS (
  SELECT
    cohort_month,
    activity_date,
    active_users,
    total_users,
    retained_users,
    SUM(retained_users) OVER (
      PARTITION BY cohort_month
      ORDER BY activity_date
      ROWS BETWEEN UNBOUNDED PRECEDING AND CURRENT ROW
    ) AS cumulative_retained_users
  FROM retention_calculation
)
SELECT
  cohort_month,
  activity_date,
  active_users,
  total_users,
  retained_users,
  cumulative_retained_users,
  ROUND(cumulative_retained_users / total_users, 4) AS cumulative_retention_rate
FROM cumulative_retention
WHERE cohort_month &lt;= DATE_TRUNC(CURRENT_DATE(), MONTH)
ORDER BY cohort_month, activity_date</t>
  </si>
  <si>
    <t>WITH user_activity AS (
  SELECT
    user_id,
    DATE(date) AS activity_date,
    DATE_TRUNC(date, MONTH) AS cohort_month
  FROM `momovn-prod.BU_ECOM.DLS_ALL_TRANS_V3_1`
  WHERE date &gt;= '2024-06-01' and CATE = 'APPLICATION STORE'
),
daily_active_users AS (
  SELECT
    cohort_month,
    activity_date,
    COUNT(DISTINCT user_id) AS active_users
  FROM user_activity
  GROUP BY cohort_month, activity_date
),
cohort_size AS (
  SELECT
    cohort_month,
    COUNT(DISTINCT user_id) AS total_users
  FROM user_activity
  GROUP BY cohort_month
),
cumulative_retention AS (
  SELECT
    c.cohort_month,
    d.activity_date,
    d.active_users,
    c.total_users,
    SUM(d.active_users) OVER (
      PARTITION BY c.cohort_month
      ORDER BY d.activity_date
      ROWS BETWEEN UNBOUNDED PRECEDING AND CURRENT ROW
    ) AS cumulative_retained_users
  FROM daily_active_users d
  JOIN cohort_size c ON d.cohort_month = c.cohort_month
)
SELECT
  cohort_month,
  activity_date,
  active_users,
  total_users,
  cumulative_retained_users,
  ROUND(cumulative_retained_users / total_users, 4) AS cumulative_retention_rate
FROM cumulative_retention
WHERE cohort_month &lt;= DATE_TRUNC(CURRENT_DATE(), MONTH)
ORDER BY cohort_month, activity_date</t>
  </si>
  <si>
    <t>WITH user_activity AS (
  SELECT
    user_id,
    DATE(date) AS activity_date,
    DATE_TRUNC(date, MONTH) AS cohort_month
  FROM `momovn-prod.BU_ECOM.DLS_ALL_TRANS_V3_1`
  WHERE date &gt;= '2024-06-01' and CATE = 'APPLICATION STORE'
),
daily_active_users AS (
  SELECT
    cohort_month,
    activity_date,
    COUNT(DISTINCT user_id) AS active_users
  FROM user_activity
  GROUP BY cohort_month, activity_date
),
cohort_size AS (
  SELECT
    cohort_month,
    COUNT(DISTINCT user_id) AS total_users
  FROM user_activity
  GROUP BY cohort_month
),
retention_rate AS (
  SELECT
    c.cohort_month,
    d.activity_date,
    d.active_users,
    c.total_users,
    d.active_users / c.total_users AS daily_retention_rate
  FROM daily_active_users d
  JOIN cohort_size c ON d.cohort_month = c.cohort_month
),
accumulative_retention AS (
  SELECT
    cohort_month,
    activity_date,
    active_users,
    total_users,
    daily_retention_rate,
    MAX(daily_retention_rate) OVER (
      PARTITION BY cohort_month
      ORDER BY activity_date
      ROWS BETWEEN UNBOUNDED PRECEDING AND CURRENT ROW
    ) AS accumulative_retention_rate
  FROM retention_rate
)
SELECT
  cohort_month,
  activity_date,
  active_users,
  total_users,
  daily_retention_rate,
  accumulative_retention_rate
FROM accumulative_retention
WHERE cohort_month &lt;= DATE_TRUNC(CURRENT_DATE(), MONTH)
ORDER BY cohort_month, activity_date</t>
  </si>
  <si>
    <t xml:space="preserve">SELECT *
FROM `momovn-prod.BU_ECOM.DLS_ALL_TRANS_V3_1`	
WHERE USER_ID = 56466652
AND DATE &gt;= '2024-01-01'
</t>
  </si>
  <si>
    <t xml:space="preserve">SELECT *
FROM `momovn-prod.BU_ECOM.DLS_ALL_TRANS_V3_1`	
WHERE USER_ID = 56466652
AND DATE &gt;= '2024-01-01'
ORDER BY DATE 
</t>
  </si>
  <si>
    <t>select date, user_id, gmv, cate, merchant
from `momovn-prod.BU_ECOM.DLS_ALL_TRANS_V3_1`
where user_id = 80420583 and month &gt;= '2024-09-01'</t>
  </si>
  <si>
    <t>select date, user_id, gmv, cate, merchant
from `momovn-prod.BU_ECOM.DLS_ALL_TRANS_V3_1`
where user_id = 89143333 and month &gt;= '2024-09-01'</t>
  </si>
  <si>
    <t>select date, user_id,  gmv, net_rev, merchant, cate
from  `momovn-prod.BU_ECOM.DLS_ALL_TRANS_V3_1`
where date &gt;= '2024-09-01' and user_id  = 59331890</t>
  </si>
  <si>
    <t xml:space="preserve">SELECT 
  USER_ID, 
  GMV,
  MERCHANT
FROM `momovn-prod.BU_ECOM.DLS_ALL_TRANS_V3_1`
WHERE DATE = '2024-01-01' AND MERCHANT = 'LAZADA' AND USER_ID = 12248124
</t>
  </si>
  <si>
    <t xml:space="preserve">SELECT 
  DATETIME, 
  USER_ID, 
  GMV,
  MERCHANT
FROM `momovn-prod.BU_ECOM.DLS_ALL_TRANS_V3_1`
WHERE DATE = '2024-01-01' AND MERCHANT = 'LAZADA' AND USER_ID = 12248124
ORDER BY 1 
</t>
  </si>
  <si>
    <t xml:space="preserve">  SELECT 
    DATETIME, 
    USER_ID, 
    ORDER_ID, 
    GMV 
  FROM `momovn-prod.BU_ECOM.DLS_ALL_TRANS_V3_1`
  WHERE DATE = '2024-01-01' AND MERCHANT = 'LAZADA' AND USER_ID = 63452725
  ORDER BY 1</t>
  </si>
  <si>
    <t xml:space="preserve">  SELECT 
    DATETIME, 
    USER_ID, 
    ORDER_ID, 
    GMV 
  FROM `momovn-prod.BU_ECOM.DLS_ALL_TRANS_V3_1`
  WHERE DATE = '2024-01-01' AND MERCHANT = 'LAZADA' AND USER_ID = 63978694
  ORDER BY 1</t>
  </si>
  <si>
    <t xml:space="preserve">  SELECT 
    DATETIME, 
    USER_ID, 
    ORDER_ID, 
    GMV 
  FROM `momovn-prod.BU_ECOM.DLS_ALL_TRANS_V3_1`
  WHERE DATE = '2024-01-01' AND MERCHANT = 'LAZADA' AND USER_ID = 66279856
  ORDER BY 1</t>
  </si>
  <si>
    <t xml:space="preserve">SELECT 
  DATETIME, 
  USER_ID, 
  GMV,
  MERCHANT,
  ORDER_ID
FROM `momovn-prod.BU_ECOM.DLS_ALL_TRANS_V3_1`
-- WHERE DATE = '2024-01-01' AND MERCHANT = 'LAZADA' AND 
WHERE ORDER_ID = 56014305
ORDER BY 1 
</t>
  </si>
  <si>
    <t xml:space="preserve">SELECT 
  DATETIME, 
  USER_ID, 
  GMV,
  MERCHANT,
  ORDER_ID
FROM `momovn-prod.BU_ECOM.DLS_ALL_TRANS_V3_1`
-- WHERE DATE = '2024-01-01' AND MERCHANT = 'LAZADA' AND 
WHERE USER_ID IN (40713641)
ORDER BY 1 
</t>
  </si>
  <si>
    <t xml:space="preserve">SELECT 
  DATETIME, 
  USER_ID, 
  GMV,
  MERCHANT,
  ORDER_ID
FROM `momovn-prod.BU_ECOM.DLS_ALL_TRANS_V3_1`
-- WHERE DATE = '2024-01-01' AND MERCHANT = 'LAZADA' AND 
WHERE ORDER_ID IN (35695228)
ORDER BY 1 
</t>
  </si>
  <si>
    <t xml:space="preserve">SELECT 
  DATETIME, 
  USER_ID, 
  GMV,
  MERCHANT,
  ORDER_ID
FROM `momovn-prod.BU_ECOM.DLS_ALL_TRANS_V3_1`
-- WHERE DATE = '2024-01-01' AND MERCHANT = 'LAZADA' AND 
WHERE ORDER_ID IN (40713641)
ORDER BY 1 
</t>
  </si>
  <si>
    <t xml:space="preserve">SELECT 
  DATETIME, 
  USER_ID, 
  GMV,
  MERCHANT,
  ORDER_ID
FROM `momovn-prod.BU_ECOM.DLS_ALL_TRANS_V3_1`
-- WHERE DATE = '2024-01-01' AND MERCHANT = 'LAZADA' AND 
WHERE ORDER_ID IN (35551344428)
ORDER BY 1 
</t>
  </si>
  <si>
    <t xml:space="preserve">SELECT 
  DATETIME, 
  USER_ID, 
  GMV,
  MERCHANT,
  ORDER_ID
FROM `momovn-prod.BU_ECOM.DLS_ALL_TRANS_V3_1`
-- WHERE DATE = '2024-01-01' AND MERCHANT = 'LAZADA' AND 
WHERE USER_ID IN (19248607,23754777242)
ORDER BY 1 
</t>
  </si>
  <si>
    <t>SELECT 
  MONTH, 
  MERCHANT,
  COUNT(DISTINCT USER_ID) AS TOTAL_USERS, 
  SUM(NET_REV) AS TOTAL_REVENUE
FROM `momovn-prod.BU_ECOM.DLS_ALL_TRANS_V3_1`
WHERE MONTH &gt;= '2024-01-01' AND CATE = 'APPLICATION STORE'
GROUP BY 1,2</t>
  </si>
  <si>
    <t>SELECT 
  MONTH, 
  MERCHANT,
  COUNT(DISTINCT USER_ID) AS TOTAL_USERS, 
  SUM(NET_REV) AS TOTAL_REVENUE
FROM `momovn-prod.BU_ECOM.DLS_ALL_TRANS_V3_1`
WHERE MONTH &gt;= '2024-09-01' AND CATE = 'APPLICATION STORE'
GROUP BY 1,2</t>
  </si>
  <si>
    <t xml:space="preserve">SELECT 
  DATETIME, 
  USER_ID, 
  GMV,
  MERCHANT,
  ORDER_ID
FROM `momovn-prod.BU_ECOM.DLS_ALL_TRANS_V3_1`
-- WHERE DATE = '2024-01-01' AND MERCHANT = 'LAZADA' AND 
WHERE ORDER_ID IN (19248607,23754777242)
ORDER BY 1 
</t>
  </si>
  <si>
    <t>WITH google_ads_users_oct_2024 AS (
    SELECT DISTINCT USER_ID 
    FROM `momovn-prod.BU_ECOM.DLS_ALL_TRANS_V3_1`
    WHERE MERCHANT = 'GOOGLE' AND CATE = 'ADS PAYMENT' AND DATE BETWEEN '2024-10-01' AND '2024-10-31'
),
google_ads_users_prior AS (
    SELECT DISTINCT USER_ID
    FROM `momovn-prod.BU_ECOM.DLS_ALL_TRANS_V3_1`
    WHERE MERCHANT = 'GOOGLE' AND CATE = 'ADS PAYMENT' AND DATE &lt; '2024-10-01'
)
SELECT
    SUM(CASE WHEN u.USER_ID NOT IN (SELECT USER_ID FROM google_ads_users_prior) THEN 1 ELSE 0 END) AS new_users,
    SUM(CASE WHEN u.USER_ID IN (SELECT USER_ID FROM google_ads_users_prior) THEN 1 ELSE 0 END) AS retain_users,
    SUM(CASE WHEN u.USER_ID IN (SELECT USER_ID FROM google_ads_users_prior) 
                  AND u.USER_ID NOT IN (SELECT USER_ID FROM google_ads_users_prior WHERE DATE &gt;= '2024-09-01')
             THEN 1 ELSE 0 END) AS reactive_users
FROM google_ads_users_oct_2024 u;</t>
  </si>
  <si>
    <t>WITH google_ads_users_oct_2024 AS (
    SELECT DISTINCT USER_ID 
    FROM `momovn-prod.BU_ECOM.DLS_ALL_TRANS_V3_1`
    WHERE MERCHANT = 'GOOGLE' AND CATE = 'ADS PAYMENT' AND DATE BETWEEN '2024-10-01' AND '2024-10-31'
),
google_ads_users_prior AS (
    SELECT DISTINCT USER_ID
    FROM `momovn-prod.BU_ECOM.DLS_ALL_TRANS_V3_1`
    WHERE MERCHANT = 'GOOGLE' AND CATE = 'ADS PAYMENT' AND DATE &lt; '2024-10-01'
),
google_ads_users_sep_2024 AS (
    SELECT DISTINCT USER_ID
    FROM `momovn-prod.BU_ECOM.DLS_ALL_TRANS_V3_1`
    WHERE MERCHANT = 'GOOGLE' AND CATE = 'ADS PAYMENT' AND DATE BETWEEN '2024-09-01' AND '2024-09-30'
)
SELECT
    SUM(CASE WHEN u.USER_ID NOT IN (SELECT USER_ID FROM google_ads_users_prior) THEN 1 ELSE 0 END) AS new_users,
    SUM(CASE WHEN u.USER_ID IN (SELECT USER_ID FROM google_ads_users_prior) THEN 1 ELSE 0 END) AS retain_users,
    SUM(CASE WHEN u.USER_ID IN (SELECT USER_ID FROM google_ads_users_prior) 
                  AND u.USER_ID NOT IN (SELECT USER_ID FROM google_ads_users_sep_2024)
             THEN 1 ELSE 0 END) AS reactive_users
FROM google_ads_users_oct_2024 u;</t>
  </si>
  <si>
    <t>select distinct user_id
from `momovn-prod.BU_ECOM.DLS_ALL_TRANS_V3_1`
where date = '2024-11-10'</t>
  </si>
  <si>
    <t>select distinct user_id
from `momovn-prod.BU_ECOM.DLS_ALL_TRANS_V3_1`
where date = '2024-11-11'</t>
  </si>
  <si>
    <t>SELECT DISTINCT USER_ID 
FROM `momovn-prod.BU_ECOM.DLS_ALL_TRANS_V3_1`
WHERE DATE = '2024-10-19'</t>
  </si>
  <si>
    <t>select distinct user_id
from `momovn-prod.BU_ECOM.DLS_ALL_TRANS_V3_1`
where date &gt;= '2024-11-01'</t>
  </si>
  <si>
    <t>SELECT DISTINCT USER_ID 
FROM `momovn-prod.BU_ECOM.DLS_ALL_TRANS_V3_1`
WHERE DATE &gt;= '2024-10-01'</t>
  </si>
  <si>
    <t>SELECT DISTINCT USER_ID 
FROM `momovn-prod.BU_ECOM.DLS_ALL_TRANS_V3_1`
WHERE DATE &gt;= '2024-10-19'</t>
  </si>
  <si>
    <t>SELECT DISTINCT USER_ID 
FROM `momovn-prod.BU_ECOM.DLS_ALL_TRANS_V3_1`
WHERE DATE &gt;= '2024-10-31'</t>
  </si>
  <si>
    <t>SELECT DISTINCT USER_ID 
FROM `momovn-prod.BU_ECOM.DLS_ALL_TRANS_V3_1`
WHERE DATE &gt;= '2024-11-01'</t>
  </si>
  <si>
    <t>SELECT DISTINCT USER_ID 
FROM `momovn-prod.BU_ECOM.DLS_ALL_TRANS_V3_1`
WHERE DATE &gt;= '2024-11-06'</t>
  </si>
  <si>
    <t>SELECT DISTINCT USER_ID 
FROM `momovn-prod.BU_ECOM.DLS_ALL_TRANS_V3_1`
WHERE DATE &gt;= '2024-11-07'</t>
  </si>
  <si>
    <t>SELECT DISTINCT USER_ID 
FROM `momovn-prod.BU_ECOM.DLS_ALL_TRANS_V3_1`
WHERE DATE &gt;= '2024-11-08'</t>
  </si>
  <si>
    <t>SELECT DISTINCT USER_ID 
FROM `momovn-prod.BU_ECOM.DLS_ALL_TRANS_V3_1`
WHERE DATE &gt;= '2024-11-09'</t>
  </si>
  <si>
    <t xml:space="preserve">SELECT DISTINCT USER_ID 
FROM `momovn-prod.BU_ECOM.DLS_ALL_TRANS_V3_1`
WHERE DATE &gt;= '2024-11-01'
</t>
  </si>
  <si>
    <t>select distinct user_id, date
from `momovn-prod.BU_ECOM.DLS_ALL_TRANS_V3_1`
where date = '2024-10-19'
order by date desc</t>
  </si>
  <si>
    <t>select distinct user_id, date
from `momovn-prod.BU_ECOM.DLS_ALL_TRANS_V3_1`
where date &gt;= '2024-11-10'
order by date desc</t>
  </si>
  <si>
    <t xml:space="preserve">  SELECT 
    DISTINCT DATETIME
  FROM `momovn-prod.BU_ECOM.DLS_ALL_TRANS_V3_1`
  WHERE DATE = '2024-11-10'
  ORDER BY 1 DESC</t>
  </si>
  <si>
    <t xml:space="preserve">SELECT DISTINCT USER_ID 
FROM `momovn-prod.BU_ECOM.DLS_ALL_TRANS_V3_1`
WHERE MERCHANT = 'GOOGLE' AND CATE = 'ADS PAYMENT'
LIMIT 25
</t>
  </si>
  <si>
    <t>SELECT DISTINCT USER_ID 
FROM `momovn-prod.BU_ECOM.DLS_ALL_TRANS_V3_1`
WHERE MERCHANT = 'GOOGLE' AND CATE = 'ADS PAYMENT' AND DATE BETWEEN '2024-10-01' AND '2024-10-31'
LIMIT 25</t>
  </si>
  <si>
    <t xml:space="preserve">select month,
COUNTIF(month &lt; '2023-10-01') as Trans_Bef_Grab,
COUNTIF(month &gt;= '2023-10-01') as Trans_After_Grab
from `momovn-prod.BU_ECOM.DLS_ALL_TRANS_V3_1`
GROUP BY 1 LIMIT 100; </t>
  </si>
  <si>
    <t>SELECT 
  MIN(DATE)
FROM `momovn-prod.BU_ECOM.DLS_ALL_TRANS_V3_1`</t>
  </si>
  <si>
    <t xml:space="preserve">  SELECT DISTINCT 
    T2.USER_ID,
    T1.MA_LOI,
    T2.ORDER_ID, 
    T2.GMV
  FROM FAIL_USER T1 
  JOIN `momovn-prod.BU_ECOM.DLS_ALL_TRANS_V3_1` T2
    ON T1.USER_ID = T2.USER_ID 
    AND T2.DATE ='2024-10-26' 
    AND T2.CATE IN ('LOGISTICS','ADS PAYMENT','APPLICATION STORE','MARKETPLACE','GAME','OTT','DIGITAL CONTENT')</t>
  </si>
  <si>
    <t>SELECT * FROM `momovn-prod.BU_ECOM.DLS_ALL_TRANS_V3_1` WHERE DATE = "2024-10-20" LIMIT 10</t>
  </si>
  <si>
    <t>SELECT 
  DISTINCT USER_ID, 
  ORDER_ID
FROM `momovn-prod.BU_ECOM.DLS_ALL_TRANS_V3_1`
WHERE USER_ID = 10066322</t>
  </si>
  <si>
    <t xml:space="preserve">WITH
  USER_ACTIVITY AS (
  SELECT
    USER_ID,
    MONTH,
    SUM(NET_REV) AS MONTHLY_REVENUE,
    LEAD(MONTH) OVER (PARTITION BY USER_ID ORDER BY MONTH) AS NEXT_MONTH
  FROM
    `momovn-prod.BU_ECOM.DLS_ALL_TRANS_V3_1`
  WHERE
    MONTH &gt;= '2024-01-01'
    AND CATE = 'APPLICATION STORE'
  GROUP BY 1,2 
),
USER_CHURN AS (
  SELECT
    MONTH,
    COUNT(DISTINCT USER_ID) AS TOTAL_USERS,
    COUNT(DISTINCT CASE WHEN DATE_ADD(month, INTERVAL 1 MONTH) != NEXT_MONTH THEN USER_ID END) AS churned_users
  FROM user_activity
  GROUP BY 1
),
REVENUE_DATA AS (
  SELECT
    MONTH,
    SUM(monthly_revenue) AS total_revenue
  FROM USER_ACTIVITY
  GROUP BY 1
)
SELECT
  uc.MONTH,
  uc.total_users,
  uc.churned_users,
  (uc.churned_users / uc.total_users) AS churn_rate,
  rd.total_revenue AS monthly_revenue,
  rd.total_revenue / uc.total_users AS revenue_per_user
FROM
  user_churn uc
JOIN
  revenue_data rd
ON
  uc.month = rd.month
ORDER BY
  uc.month LIMIT 100; </t>
  </si>
  <si>
    <t>SELECT *
FROM `momovn-prod.BU_ECOM.DLS_ALL_TRANS_V3_1`
WHERE ORDER_ID = 63394989953</t>
  </si>
  <si>
    <t>select *
from `momovn-prod.BU_ECOM.DLS_ALL_TRANS_V3_1`	
WHERE ORDER_ID = 60397692880</t>
  </si>
  <si>
    <t>SELECT *
FROM `momovn-prod.BU_ECOM.DLS_ALL_TRANS_V3_1`
WHERE DATE &gt;= '2024-01-01' and USER_ID = 56466652</t>
  </si>
  <si>
    <t>SELECT *
FROM `momovn-prod.BU_ECOM.DLS_ALL_TRANS_V3_1` 
WHERE ORDER_ID IN (63394989953,62278729001,62748028921)</t>
  </si>
  <si>
    <t>SELECT *
FROM `momovn-prod.BU_ECOM.DLS_ALL_TRANS_V3_1`
WHERE DATE &gt;= '2024-08-01' and USER_ID = 59331890
ORDER BY DATE</t>
  </si>
  <si>
    <t xml:space="preserve">SELECT SUM(TOTAL_REV)
FROM `momovn-prod.BU_ECOM.DLS_ALL_TRANS_V3_1`
WHERE DATE &gt;= '2024-08-01' and USER_ID = 59331890
</t>
  </si>
  <si>
    <t>with users as(
SELECT 
MONTH,
USER_ID,
SUM(GMV) as total_GMV
FROM `momovn-prod.BU_ECOM.DLS_ALL_TRANS_V3_1`
WHERE MONTH = '2024-09-01' AND SERVICE_CODE IN ('m4becomadyen_facebook','m4becomboku_facebook','googleasia',
'm4becombytedance_promote_payin','m4becombytedance_ads_payin','m4becomzaloads')
GROUP BY 1,2
)
SELECT 
USER_ID
FROM users
WHERE total_GMV &lt;= 3000000</t>
  </si>
  <si>
    <t xml:space="preserve">select *
from `momovn-prod.BU_ECOM.DLS_ALL_TRANS_V3_1`	
WHERE ORDER_ID IN (60397692880,60231856182,60067858677,60824334801)
</t>
  </si>
  <si>
    <t xml:space="preserve">select *
from `momovn-prod.BU_ECOM.DLS_ALL_TRANS_V3_1`	
WHERE ORDER_ID IN ('60397692880','60231856182','60067858677','60824334801')
</t>
  </si>
  <si>
    <t xml:space="preserve">CREATE OR REPLACE TABLE `project-5400504384186300846.PUSH_NOTI_EMAIL.20240923_Ads_payment_3M_Aug` AS
with users as(
SELECT 
DISTINCT MONTH,
USER_ID,
SUM(GMV) as total_GMV
FROM `momovn-prod.BU_ECOM.DLS_ALL_TRANS_V3_1`
WHERE MONTH = '2024-08-01' AND SERVICE_CODE IN ('m4becomadyen_facebook','m4becomboku_facebook','googleasia',
'm4becombytedance_promote_payin','m4becombytedance_ads_payin','m4becomzaloads')
GROUP BY 1,2
)
SELECT 
  USER_ID
FROM users
WHERE total_GMV &lt;= 3000000
</t>
  </si>
  <si>
    <t xml:space="preserve">CREATE OR REPLACE TABLE `project-5400504384186300846.PUSH_NOTI_EMAIL.20240923_Ads_payment_3M_Aug` AS
with users as(
SELECT 
DISTINCT MONTH,
USER_ID,
SUM(GMV) as total_GMV
FROM `momovn-prod.BU_ECOM.DLS_ALL_TRANS_V3_1`
WHERE MONTH = '2024-08-01' AND SERVICE_CODE IN ('m4becomadyen_facebook','m4becomboku_facebook','googleasia',
'm4becombytedance_promote_payin','m4becombytedance_ads_payin','m4becomzaloads')
GROUP BY 1,2
)
SELECT 
  DISTINCT USER_ID
FROM users
WHERE total_GMV &lt;= 3000000
</t>
  </si>
  <si>
    <t xml:space="preserve">CREATE OR REPLACE TABLE `project-5400504384186300846.PUSH_NOTI_EMAIL.20240923_Ads_payment_3M_Sep` AS
with users as(
SELECT 
DISTINCT MONTH,
USER_ID,
SUM(GMV) as total_GMV
FROM `momovn-prod.BU_ECOM.DLS_ALL_TRANS_V3_1`
WHERE MONTH = '2024-09-01' AND SERVICE_CODE IN ('m4becomadyen_facebook','m4becomboku_facebook','googleasia',
'm4becombytedance_promote_payin','m4becombytedance_ads_payin','m4becomzaloads')
GROUP BY 1,2
)
SELECT 
  DISTINCT USER_ID
FROM users
WHERE total_GMV &lt;= 3000000
</t>
  </si>
  <si>
    <t xml:space="preserve">
select distinct SUB_MERCHANT
from `momovn-prod.BU_ECOM.DLS_ALL_TRANS_V3_1`
where merchant = 'APPLE'</t>
  </si>
  <si>
    <t xml:space="preserve">
select distinct SUB_MERCHANT
from `momovn-prod.BU_ECOM.DLS_ALL_TRANS_V3_1`
where merchant = 'GOOGLE'</t>
  </si>
  <si>
    <t xml:space="preserve">
select distinct SUB_MERCHANT
from `momovn-prod.BU_ECOM.DLS_ALL_TRANS_V3_1`
where merchant = 'MERCHANT'</t>
  </si>
  <si>
    <t>SELECT
  DISTINCT USER_ID, 
  ORDER_ID
FROM `momovn-prod.BU_ECOM.DLS_ALL_TRANS_V3_1`
WHERE USER_ID = 3891644264</t>
  </si>
  <si>
    <t>SELECT
  DISTINCT USER_ID, 
  ORDER_ID
FROM `momovn-prod.BU_ECOM.DLS_ALL_TRANS_V3_1`
WHERE ORDER_ID = 3891644264</t>
  </si>
  <si>
    <t>SELECT
  DISTINCT USER_ID, 
  ORDER_ID
FROM `momovn-prod.BU_ECOM.DLS_ALL_TRANS_V3_1`
WHERE ORDER_ID = 69876566145</t>
  </si>
  <si>
    <t>SELECT
  DISTINCT USER_ID, 
  ORDER_ID
FROM `momovn-prod.BU_ECOM.DLS_ALL_TRANS_V3_1`
WHERE ORDER_ID = 	1729927743390</t>
  </si>
  <si>
    <t xml:space="preserve">
select distinct SUB_MERCHANT
from `momovn-prod.BU_ECOM.DLS_ALL_TRANS_V3_1`
where merchant = 'GOOGLE'
AND SUB_MERCHANT = 'GOOGLE YOUTUBE PREMIUM'</t>
  </si>
  <si>
    <t xml:space="preserve">with users_sgement as(
  SELECT DISTINCT USER_ID, 
  total_gmv,
  CASE WHEN total_gmv &lt; 3000000 THEN 'Light'
      WHEN total_gmv &gt;= 3000000 and total_gmv &lt; 50000000 THEN 'Medium'
      WHEN total_gmv &gt;= 50000000 THEN 'Heavy'
    END AS Segment
  FROM(
  select 
    USER_ID, 
    SUM(GMV) as total_gmv
  from `momovn-prod.BU_ECOM.DLS_ALL_TRANS_V3_1`
  where date &gt;= '2024-01-01' and CATE = 'ADS PAYMENT'
  GROUP BY 1
  )
)
SELECT m.month, 
u.segment,
COUNT(DISTINCT u.USER_ID) as Total_Users
FROM users_sgement u JOIN `momovn-prod.BU_ECOM.DLS_ALL_TRANS_V3_1` m 
    ON u.USER_ID = m.USER_ID
    AND m.date &gt;= '2024-01-01'
    AND m.CATE = 'ADS PAYMENT'
GROUP BY 1,2 LIMIT 100; </t>
  </si>
  <si>
    <t>select *, 
rank() over(partition by cate ORDER BY datetime) as rk from (
select datetime,user_id,order_id,cate,merchant
from `momovn-prod.BU_ECOM.DLS_ALL_TRANS_V3_1`
WHERE CATE IN ('LOGISTICS','MARKETPLACE') and user_id  = 90075231
order by datetime
)</t>
  </si>
  <si>
    <t>select *, 
rank() over(partition by USER_ID ORDER BY datetime) as rk from (
select datetime,user_id,order_id,cate,merchant
from `momovn-prod.BU_ECOM.DLS_ALL_TRANS_V3_1`
WHERE CATE IN ('LOGISTICS','MARKETPLACE') and user_id  = 90075231
order by datetime
)</t>
  </si>
  <si>
    <t>select *, 
rank() over(partition by cate ORDER BY datetime asc) as rk from (
select datetime,user_id,order_id,cate,merchant
from `momovn-prod.BU_ECOM.DLS_ALL_TRANS_V3_1`
WHERE CATE IN ('LOGISTICS','MARKETPLACE') and user_id  = 90075231
order by datetime
)</t>
  </si>
  <si>
    <t>CREATE OR REPLACE TABLE  `momovn-prod.BU_ECOM.MATT_TEST_GRAB_NEW_USER_0609` AS
with raw as (
select distinct
  month,
  date,
  datetime,
  user_id,
  order_id,
  cate,
  merchant,
  case when sub_merchant is null then merchant else sub_merchant end as sub_merchant,
  row_number () over (partition by user_id,merchant order by datetime) as first_trans
FROM `momovn-prod.BU_ECOM.DLS_ALL_TRANS_V3_1`
WHERE CATE IN ('LOGISTICS') AND MONTH &gt;= '2024-01-01'
Qualify first_trans = 1 
)
select 
 t1.*,
  row_number() over (partition by user_id,cate order by datetime) as rank_cate,
  row_number() over (partition by user_id,merchant order by datetime) as rank_merchant,
  row_number() over (partition by user_id,merchant,sub_merchant order by datetime) as rank_sub_merchant
from raw t1</t>
  </si>
  <si>
    <t>select *, 
rank() over(partition by cate ORDER BY datetime asc) as rk_cate,
rank() over(partition by merchant ORDER BY datetime asc) as rk_mer from (
select datetime,user_id,order_id,cate,merchant
from `momovn-prod.BU_ECOM.DLS_ALL_TRANS_V3_1`
WHERE CATE = 'LOGISTICS'
)
LIMIT 10</t>
  </si>
  <si>
    <t xml:space="preserve">select *, 
rank() over(partition by user_id,cate,merchant ORDER BY datetime asc) as rk_cate
from (
select datetime, user_id, order_id, cate, merchant
from `momovn-prod.BU_ECOM.DLS_ALL_TRANS_V3_1`
WHERE CATE = 'LOGISTICS' AND EXTRACT(YEAR FROM `DATETIME`) = 2024
-- AND USER_ID = 80706405
)
</t>
  </si>
  <si>
    <t xml:space="preserve">
select *, 
rank() over(partition by user_id,cate,merchant ORDER BY datetime asc) as rk_cate
from (
select datetime, user_id, order_id, cate, merchant
from `momovn-prod.BU_ECOM.DLS_ALL_TRANS_V3_1`
WHERE CATE = 'LOGISTICS' AND EXTRACT(YEAR FROM `DATETIME`) = 2024
-- AND USER_ID = 80706405
)
</t>
  </si>
  <si>
    <t xml:space="preserve">create or replace table `momovn-prod.BU_ECOM.MATT_TEST_GRAB_0609` AS 
with a as (
select
  date,
  user_id,
  order_id,
  cate,
  merchant,
  row_number () over (partition by user_id, cate order by datetime) as rank_cate,
  row_number () over (partition by user_id,cate,merchant order by datetime) rank_merchant
from  `momovn-prod.BU_ECOM.DLS_ALL_TRANS_V3_1`
where cate in ('LOGISTICS',"MARKETPLACE") and user_id in (41039170,45510998)
)
select *,
  case when rank_cate = 1 then user_id end as ntc,
  case when rank_merchant = 1 then user_id end as ntmc
from a 
</t>
  </si>
  <si>
    <t xml:space="preserve">--create or replace table `momovn-prod.BU_ECOM.MATT_TEST_GRAB_0609` AS 
with a as (
select
  date,
  user_id,
  order_id,
  cate,
  merchant,
  row_number () over (partition by user_id, cate order by datetime) as rank_cate,
  row_number () over (partition by user_id,cate,merchant order by datetime) rank_merchant
from  `momovn-prod.BU_ECOM.DLS_ALL_TRANS_V3_1`
where cate in ('LOGISTICS',"MARKETPLACE") and user_id in (41039170,45510998)
)
select *,
  case when rank_cate = 1 then user_id end as ntc,
  case when rank_merchant = 1 then user_id end as ntmc
from a 
</t>
  </si>
  <si>
    <t>select *, 
rank() over(partition by cate ORDER BY datetime asc) as rk_cate,
rank() over(partition by merchant ORDER BY datetime asc) as rk_mer from (
select datetime,user_id,order_id,cate,merchant
from `momovn-prod.BU_ECOM.DLS_ALL_TRANS_V3_1`
WHERE CATE IN ('LOGISTICS','MARKETPLACE') and user_id  = 36805488
)</t>
  </si>
  <si>
    <t>select *, 
rank() over(partition by cate ORDER BY datetime asc) as rk_cate,
rank() over(partition by merchant ORDER BY datetime asc) as rk_mer from (
select datetime,user_id,order_id,cate,merchant
from `momovn-prod.BU_ECOM.DLS_ALL_TRANS_V3_1`
WHERE CATE IN ('LOGISTICS','MARKETPLACE') and user_id  = 90075231
)</t>
  </si>
  <si>
    <t xml:space="preserve">
select *, 
rank() over(partition by user_id,cate,merchant ORDER BY datetime asc) as rk_cate
from (
select datetime, user_id, order_id, cate, merchant
from `momovn-prod.BU_ECOM.DLS_ALL_TRANS_V3_1`
WHERE CATE = 'LOGISTICS' AND EXTRACT(YEAR FROM `DATETIME`) = 2024
-- AND USER_ID = 80706405
ORDER BY USER_ID
)
</t>
  </si>
  <si>
    <t xml:space="preserve">select *, 
rank() over(partition by cate ORDER BY datetime asc) as rk_cate,
rank() over(partition by merchant ORDER BY datetime asc) as rk_mer from (
select datetime,user_id,order_id,cate,merchant
from `momovn-prod.BU_ECOM.DLS_ALL_TRANS_V3_1`
WHERE CATE = 'LOGISTICS' AND EXTRACT(YEAR FROM `DATETIME`) = 2024
)
</t>
  </si>
  <si>
    <t xml:space="preserve">
select datetime,user_id,order_id,cate,merchant,
row_number() over(partition by USER_ID,CATE ORDER BY datetime) as rk_cate,
row_number() over(partition by USER_ID,MERCHANT ORDER BY datetime) as rk_merchant,
from `momovn-prod.BU_ECOM.DLS_ALL_TRANS_V3_1`
WHERE CATE IN ('LOGISTICS','MARKETPLACE') and user_id  = 90075231</t>
  </si>
  <si>
    <t>SELECT *
FROM `momovn-prod.BU_ECOM.DLS_ALL_TRANS_V3_1`
LIMIT 2</t>
  </si>
  <si>
    <t>nam.dang@mservice.com.vn</t>
  </si>
  <si>
    <t>with raw as (
select distinct
  month,
  date,
  datetime,
  user_id,
  order_id,
  cate,
  merchant,
  sub_merchant,
  row_number() over (partition by user_id,merchant order by datetime) as first_trans
FROM `momovn-prod.BU_ECOM.DLS_ALL_TRANS_V3_1`
Qualify first_trans = 1 
)
select 
 t1.*,
  row_number() over (partition by user_id,cate order by datetime) as rank_cate,
  row_number() over (partition by user_id,merchant order by datetime) as rank_merchant
  row_number() over (partition by user_id,merchant,sub_merchant order by datetime) as rank_sub_merchant
from raw t1</t>
  </si>
  <si>
    <t>SELECT *
FROM `momovn-prod.BU_ECOM.DLS_ALL_TRANS_V3_1`
limit 10</t>
  </si>
  <si>
    <t>with raw as (
select distinct
  month,
  date,
  datetime,
  user_id,
  order_id,
  cate,
  merchant,
  sub_merchant,
  row_number () over (partition by user_id,merchant order by datetime) as first_trans
FROM `momovn-prod.BU_ECOM.DLS_ALL_TRANS_V3_1`
Qualify first_trans = 1 
)
select 
 t1.*,
  row_number() over (partition by user_id,cate order by datetime) as rank_cate,
  row_number() over (partition by user_id,merchant order by datetime) as rank_merchant,
  row_number() over (partition by user_id,merchant,sub_merchant order by datetime) as rank_sub_merchant
from raw t1</t>
  </si>
  <si>
    <t xml:space="preserve">SELECT  *
FROM `momovn-prod.BU_ECOM.DLS_ALL_TRANS_V3_1`
LIMIT 1
</t>
  </si>
  <si>
    <t xml:space="preserve">with a as (
select distinct
  date,
  user_id,
  order_id,
  cate,
  merchant,
  row_number () over (partition by user_id,cate,merchant order by datetime) rank
from  `momovn-prod.BU_ECOM.DLS_ALL_TRANS_V3_1`
where cate in ('LOGISTICS')
)
select date, merchant, count (distinct user_id)
from a
where rank = 1 
group by 1,2
</t>
  </si>
  <si>
    <t>with raw as (
select distinct
  month,
  date,
  datetime,
  user_id,
  order_id,
  cate,
  merchant,
  sub_merchant,
  row_number() over (partition by user_id,merchant order by datetime) as first_partner
FROM `momovn-prod.BU_ECOM.DLS_ALL_TRANS_V3_1`
Qualify first_partner = 1 
)
select 
 t1.*,
  row_number() over (partition by user_id,cate order by datetime) as rank_cate,
  row_number() over (partition by user_id,merchant order by datetime) as rank_merchant
  row_number() over (partition by user_id,merchant,sub_merchant order by datetime) as rank_sub_merchant
from raw t1</t>
  </si>
  <si>
    <t xml:space="preserve">SELECT DISTINCT CATE
FROM `momovn-prod.BU_ECOM.DLS_ALL_TRANS_V3_1`
</t>
  </si>
  <si>
    <t>select distinct cate,merchant
from `momovn-prod.BU_ECOM.DLS_ALL_TRANS_V3_1`</t>
  </si>
  <si>
    <t xml:space="preserve">SELECT MAX(GMV), MAX(NET_REV)
FROM `momovn-prod.BU_ECOM.DLS_ALL_TRANS_V3_1`
</t>
  </si>
  <si>
    <t xml:space="preserve">
select datetime,user_id,order_id,cate,merchant,
row_number() over(partition by USER_ID,CATE ORDER BY datetime) as rk_cate,
row_number() over(partition by USER_ID,MERCHANT ORDER BY datetime) as rk_merchant,
from `momovn-prod.BU_ECOM.DLS_ALL_TRANS_V3_1`
WHERE CATE IN ('LOGISTICS','MARKETPLACE') and user_id  = 90075231
order by datetime</t>
  </si>
  <si>
    <t xml:space="preserve">SELECT COUNT(USER_ID) AS total_user
FROM `momovn-prod.BU_ECOM.DLS_ALL_TRANS_V3_1`
</t>
  </si>
  <si>
    <t>select * from (
select *, 
rank() over(partition by user_id,cate,merchant ORDER BY datetime asc) as rk_cate
from (
select datetime, user_id, order_id, cate, merchant
from `momovn-prod.BU_ECOM.DLS_ALL_TRANS_V3_1`
WHERE CATE = 'LOGISTICS' AND EXTRACT(YEAR FROM `DATETIME`) = 2024
-- AND USER_ID = 80706405
)
)
WHERE user_id = 52017343</t>
  </si>
  <si>
    <t>SELECT *
FROM `momovn-prod.BU_ECOM.DLS_ALL_TRANS_V3_1`
ORDER BY DATETIME ASC
LIMIT 10</t>
  </si>
  <si>
    <t>select *
FROM `momovn-prod.BU_ECOM.DLS_ALL_TRANS_V3_1`
where MERCHANT = 'GRAB'
LIMIT 10</t>
  </si>
  <si>
    <t xml:space="preserve">SELECT  DISTINCT COUNT(USER_ID) AS total_user
FROM `momovn-prod.BU_ECOM.DLS_ALL_TRANS_V3_1`
</t>
  </si>
  <si>
    <t xml:space="preserve">select distinct
  date,
  user_id,
  order_id,
  cate,
  merchant,
  row_number () over (partition by user_id, cate order by datetime) as rank_cate,
  row_number () over (partition by user_id,cate,merchant order by datetime) rank_merchant
from  `momovn-prod.BU_ECOM.DLS_ALL_TRANS_V3_1`
where cate in ('LOGISTICS') and user_id in (41039170,45510998)
</t>
  </si>
  <si>
    <t>SELECT TRANS_TYPE, MONTH, GMV, NET_REV
FROM `momovn-prod.BU_ECOM.DLS_ALL_TRANS_V3_1`
limit 10</t>
  </si>
  <si>
    <t xml:space="preserve">with a as (
select distinct
  date,
  user_id,
  order_id,
  cate,
  merchant,
  row_number () over (partition by user_id,cate,merchant order by datetime) rank
from  `momovn-prod.BU_ECOM.DLS_ALL_TRANS_V3_1`
where cate in ('LOGISTICS')
)
select date, merchant, count (distinct user_id)
from a
where rank = 1 
group by 1,2
order by date desc,merchant
</t>
  </si>
  <si>
    <t xml:space="preserve">select *
from `momovn-prod.BU_ECOM.DLS_ALL_TRANS_V3_1`
WHERE USER_ID = 137403
ORDER BY DATETIME
</t>
  </si>
  <si>
    <t>select distinct cate,merchant
from `momovn-prod.BU_ECOM.DLS_ALL_TRANS_V3_1`
WHERE cate = 'LOGISTICS'</t>
  </si>
  <si>
    <t xml:space="preserve">SELECT MAX(GMV) AS max_gmv, MAX(NET_REV) AS min_netrev
FROM `momovn-prod.BU_ECOM.DLS_ALL_TRANS_V3_1`
</t>
  </si>
  <si>
    <t xml:space="preserve">SELECT MAX(GMV) AS max_gmv, MIN(NET_REV) AS min_netrev
FROM `momovn-prod.BU_ECOM.DLS_ALL_TRANS_V3_1`
</t>
  </si>
  <si>
    <t xml:space="preserve">select distinct cate,merchant
from `momovn-prod.BU_ECOM.DLS_ALL_TRANS_V3_1`
WHERE USER_ID = '137403'
</t>
  </si>
  <si>
    <t xml:space="preserve">select * from(
select *, 
rank() over(partition by user_id,cate,merchant ORDER BY datetime asc) as rk_cate
from (
select datetime, user_id, order_id, cate, merchant
from `momovn-prod.BU_ECOM.DLS_ALL_TRANS_V3_1`
WHERE CATE = 'LOGISTICS' AND EXTRACT(YEAR FROM `DATETIME`) = 2024
-- AND USER_ID = 80706405
ORDER BY USER_ID
)
)
WHERE user_id = 81412264
</t>
  </si>
  <si>
    <t>select distinct sub_merchant
from  `momovn-prod.BU_ECOM.DLS_ALL_TRANS_V3_1`
where merchant = 'GRAB-ENDUSER'</t>
  </si>
  <si>
    <t xml:space="preserve">SELECT *
FROM `momovn-prod.BU_ECOM.DLS_ALL_TRANS_V3_1`
WHERE YEAR(DATETIME) = '2024'
ORDER BY DATETIME ASC
</t>
  </si>
  <si>
    <t xml:space="preserve">select
  date,
  user_id,
  order_id,
  cate,
  merchant,
  row_number () over (partition by user_id, cate order by datetime) as rank_cate,
  row_number () over (partition by user_id,cate,merchant order by datetime) rank_merchant
from  `momovn-prod.BU_ECOM.DLS_ALL_TRANS_V3_1`
where cate in ('LOGISTICS') and user_id in (41039170,45510998)
order by user_id, datetime
</t>
  </si>
  <si>
    <t xml:space="preserve">with a as (
select distinct
  date,
  user_id,
  order_id,
  cate,
  merchant,
  row_number () over (partition by user_id,cate,merchant order by datetime) rank
from  `momovn-prod.BU_ECOM.DLS_ALL_TRANS_V3_1`
where cate in ('LOGISTICS')
)
select date, merchant, count (distinct user_id)
from a
where rank = 1 and date &gt;= '2024-01-01'
group by 1,2
order by date,merchant
</t>
  </si>
  <si>
    <t xml:space="preserve">select distinct
  date,
  user_id,
  order_id,
  cate,
  merchant,
  row_number () over (partition by user_id, cate order by datetime) as rank_cate,
  row_number () over (partition by user_id,cate,merchant order by datetime) rank_merchant
from  `momovn-prod.BU_ECOM.DLS_ALL_TRANS_V3_1`
where cate in ('LOGISTICS') and user_id in (41039170,45510998)
order by user_id, datetime
</t>
  </si>
  <si>
    <t>SELECT *
FROM `momovn-prod.BU_ECOM.DLS_ALL_TRANS_V3_1`
WHERE EXTRACT(YEAR FROM DATETIME) = '2024'
ORDER BY DATETIME ASC</t>
  </si>
  <si>
    <t>select *
 FROM `momovn-prod.BU_ECOM.DLS_ALL_TRANS_V3_1`
 where cate = 'LOGISTICS' and user_id = 40109778
 order by datetime</t>
  </si>
  <si>
    <t xml:space="preserve">select *
from `momovn-prod.BU_ECOM.DLS_ALL_TRANS_V3_1`
WHERE USER_ID = 137403 and CATE = 'LOGISTICS'
ORDER BY DATETIME
</t>
  </si>
  <si>
    <t xml:space="preserve">select *
from `momovn-prod.BU_ECOM.DLS_ALL_TRANS_V3_1`
WHERE USER_ID = 644648 and CATE = 'LOGISTICS'
ORDER BY DATETIME
</t>
  </si>
  <si>
    <t xml:space="preserve">select *
from `momovn-prod.BU_ECOM.DLS_ALL_TRANS_V3_1`
WHERE USER_ID = 840081 and CATE = 'LOGISTICS'
ORDER BY DATETIME
</t>
  </si>
  <si>
    <t xml:space="preserve">select *
from `momovn-prod.BU_ECOM.DLS_ALL_TRANS_V3_1`
WHERE USER_ID = 953557 and CATE = 'LOGISTICS'
ORDER BY DATETIME
</t>
  </si>
  <si>
    <t xml:space="preserve">select *, 
rank() over(partition by cate ORDER BY datetime asc) as rk_cate,
rank() over(partition by merchant ORDER BY datetime asc) as rk_mer from (
select datetime,user_id,order_id,cate,merchant, rank() over(partition by user_id order by datetime) as rku
from `momovn-prod.BU_ECOM.DLS_ALL_TRANS_V3_1`
WHERE CATE = 'LOGISTICS' AND EXTRACT(YEAR FROM `DATETIME`) = 2024
)
</t>
  </si>
  <si>
    <t xml:space="preserve">select *
from `momovn-prod.BU_ECOM.DLS_ALL_TRANS_V3_1`
WHERE USER_ID = 58726956 and CATE = 'LOGISTICS'
ORDER BY DATETIME
</t>
  </si>
  <si>
    <t xml:space="preserve">select
  date,
  user_id,
  order_id,
  cate,
  merchant,
  row_number () over (partition by user_id, cate order by datetime) as rank_cate,
  row_number () over (partition by user_id,cate,merchant order by datetime) rank_merchant
from  `momovn-prod.BU_ECOM.DLS_ALL_TRANS_V3_1`
where cate in ('LOGISTICS',"MARKETPLACE") and user_id in (41039170,45510998)
order by user_id, datetime
</t>
  </si>
  <si>
    <t>SELECT COUNT(USER_ID) AS total_user
FROM `momovn-prod.BU_ECOM.DLS_ALL_TRANS_V3_1`
WHERE MONTH BETWEEN "2024-08-01" AND "2024-08-31"</t>
  </si>
  <si>
    <t>SELECT DISTINCT CATE
FROM `momovn-prod.BU_ECOM.DLS_ALL_TRANS_V3_1`
WHERE EXTRACT(YEAR FROM DATETIME) = '2024'
ORDER BY DATETIME ASC</t>
  </si>
  <si>
    <t xml:space="preserve">SELECT MERCHANT="APPLE",USER_ID, GMV
FROM `momovn-prod.BU_ECOM.DLS_ALL_TRANS_V3_1`
WHERE MONTH BETWEEN "2024-08-01" AND "2024-08-31" 
</t>
  </si>
  <si>
    <t>select *
from `momovn-prod.BU_ECOM.DLS_ALL_TRANS_V3_1`
WHERE CATE IN ('LOGISTICS','MARKETPLACE') and user_id  = 49076857
order by datetime</t>
  </si>
  <si>
    <t>select *
from `momovn-prod.BU_ECOM.DLS_ALL_TRANS_V3_1`
WHERE CATE IN ('LOGISTICS','MARKETPLACE') and user_id  = 82426193
order by datetime</t>
  </si>
  <si>
    <t>select *
from `momovn-prod.BU_ECOM.DLS_ALL_TRANS_V3_1`
WHERE CATE IN ('LOGISTICS','MARKETPLACE') and user_id  = 90075231
order by datetime</t>
  </si>
  <si>
    <t xml:space="preserve">SELECT MERCHANT="APPLE" AS apple,USER_ID, GMV
FROM `momovn-prod.BU_ECOM.DLS_ALL_TRANS_V3_1`
WHERE MONTH BETWEEN "2024-08-01" AND "2024-08-31" 
</t>
  </si>
  <si>
    <t xml:space="preserve">select user_id, count(distinct order_id) as mat
from `momovn-prod.BU_ECOM.DLS_ALL_TRANS_V3_1`
WHERE CATE = 'LOGISTICS'
GROUP BY 1
HAVING mat = 10
</t>
  </si>
  <si>
    <t>select user_id, count (distinct order_id) as time 
from  `momovn-prod.BU_ECOM.DLS_ALL_TRANS_V3_1`
where cate in ('LOGISTICS')
group by 1
having time = 15</t>
  </si>
  <si>
    <t>SELECT COUNT(USER_ID) AS total_user, SUM(GMV) AS total_GMV
FROM `momovn-prod.BU_ECOM.DLS_ALL_TRANS_V3_1`
WHERE MONTH BETWEEN "2024-08-01" AND "2024-08-31"</t>
  </si>
  <si>
    <t xml:space="preserve">SELECT COUNT(USER_ID) AS total_user, SUM(GMV) AS total_GMV
FROM `momovn-prod.BU_ECOM.DLS_ALL_TRANS_V3_1`
WHERE MONTH BETWEEN "2024-08-01" AND "2024-08-31"
</t>
  </si>
  <si>
    <t xml:space="preserve">select 
datetime, 
merchant, 
COUNT(DISTINCT user_id) FROM(
select *, 
rank() over(partition by user_id,cate,merchant ORDER BY datetime asc) as rk_cate
from (
select datetime, user_id, order_id, cate, merchant
from `momovn-prod.BU_ECOM.DLS_ALL_TRANS_V3_1`
WHERE CATE = 'LOGISTICS' AND EXTRACT(YEAR FROM `DATETIME`) = 2024
-- AND USER_ID = 80706405
ORDER BY USER_ID
))
WHERE rk_cate  = 1
GROUP BY 1,2
</t>
  </si>
  <si>
    <t xml:space="preserve">select user_id, count(distinct order_id) as mat
from `momovn-prod.BU_ECOM.DLS_ALL_TRANS_V3_1`
WHERE CATE IN ('LOGISTICS','MARKETPLACE')
GROUP BY 1
HAVING mat = 10
</t>
  </si>
  <si>
    <t>select distinct
  month,
  datetime
  user_id,
  order_id,
  cate,
  merchant
from  `momovn-prod.BU_ECOM.DLS_ALL_TRANS_V3_1`
where cate in ('LOGISTICS')
and user_id = 41039170</t>
  </si>
  <si>
    <t>SELECT COUNT(USER_ID) AS total_user, SUM(GMV) AS total_GMV
FROM `momovn-prod.BU_ECOM.DLS_ALL_TRANS_V3_1`
WHERE MONTH BETWEEN "2024-08-01" AND "2024-08-31"AND MERCHANT="APPLE"</t>
  </si>
  <si>
    <t xml:space="preserve">SELECT COUNT(USER_ID) AS total_user, SUM(GMV) AS total_GMV
FROM `momovn-prod.BU_ECOM.DLS_ALL_TRANS_V3_1`
WHERE MONTH BETWEEN "2024-08-01" AND "2024-08-31" AND MERCHANT="APPLE"
</t>
  </si>
  <si>
    <t>select datetime,user_id,order_id,cate,merchant
from `momovn-prod.BU_ECOM.DLS_ALL_TRANS_V3_1`
WHERE CATE IN ('LOGISTICS','MARKETPLACE') and user_id  = 90075231
order by datetime</t>
  </si>
  <si>
    <t xml:space="preserve">SELECT MERCHANT,COUNT(USER_ID) AS total_user, SUM(GMV) AS total_GMV
FROM `momovn-prod.BU_ECOM.DLS_ALL_TRANS_V3_1`
WHERE MONTH BETWEEN "2024-08-01" AND "2024-08-31" 
group by 1
</t>
  </si>
  <si>
    <t>SELECT COUNT(USER_ID) AS total_user, SUM(GMV) AS total_GMV
FROM `momovn-prod.BU_ECOM.DLS_ALL_TRANS_V3_1`
WHERE MONTH BETWEEN "2024-08-01" AND "2024-08-31"
GROUP BY MERCHANT="APPLE"</t>
  </si>
  <si>
    <t xml:space="preserve">select 
FORMAT_DATE("%Y/%m/%d",datetime),
merchant, 
COUNT(DISTINCT user_id) FROM(
select *, 
rank() over(partition by user_id,cate,merchant ORDER BY datetime asc) as rk_cate
from (
select datetime, user_id, order_id, cate, merchant
from `momovn-prod.BU_ECOM.DLS_ALL_TRANS_V3_1`
WHERE CATE = 'LOGISTICS' AND EXTRACT(YEAR FROM `DATETIME`) = 2024
-- AND USER_ID = 80706405
ORDER BY USER_ID
))
WHERE rk_cate  = 1
GROUP BY 1,2
</t>
  </si>
  <si>
    <t xml:space="preserve">SELECT MERCHANT="APPLE",COUNT(USER_ID) AS total_user, SUM(GMV) AS total_GMV
FROM `momovn-prod.BU_ECOM.DLS_ALL_TRANS_V3_1`
WHERE MONTH BETWEEN "2024-08-01" AND "2024-08-31" 
group by 1
</t>
  </si>
  <si>
    <t>select distinct
  month,
  datetime
  user_id,
  order_id,
  cate,
  merchant
from  `momovn-prod.BU_ECOM.DLS_ALL_TRANS_V3_1`
where cate in ('LOGISTICS','MARKETPLACE')
and user_id = 41039170</t>
  </si>
  <si>
    <t>select distinct
  month,
  datetime
  user_id,
  order_id,
  cate,
  merchant
from  `momovn-prod.BU_ECOM.DLS_ALL_TRANS_V3_1`
where cate in ('LOGISTICS','MARKETPLACE')
and user_id = 45510998</t>
  </si>
  <si>
    <t xml:space="preserve">CREATE OR REPLACE TABLE  `momovn-prod.BU_ECOM.MATT_TEST_GRAB_NEW_USER_0609` AS
with raw as (
select distinct
  month,
  date,
  datetime,
  user_id,
  order_id,
  cate,
  merchant,
  case when sub_merchant is null then merchant else sub_merchant end as sub_merchant,
  row_number () over (partition by user_id,merchant order by datetime) as first_trans
FROM `momovn-prod.BU_ECOM.DLS_ALL_TRANS_V3_1`
WHERE CATE IN ('LOGISTICS') 
Qualify first_trans = 1 
),
final as (
select 
 t1.*,
  row_number() over (partition by user_id,cate order by datetime) as rank_cate,
  row_number() over (partition by user_id,merchant order by datetime) as rank_merchant,
  row_number() over (partition by user_id,merchant,sub_merchant order by datetime) as rank_sub_merchant
from raw t1
)
select *,
  case when rank_cate = 1 then user_id end as NTC,
  case when rank_merchant = 1 then user_id end as NTMC,
  case when rank_sub_merchant = 1 then user_id end as NTSMC,
from final
</t>
  </si>
  <si>
    <t xml:space="preserve">select 
FORMAT_DATE("%Y/%m/%d",datetime),
merchant, 
COUNT(DISTINCT user_id) as total_users FROM(
select *, 
rank() over(partition by user_id,cate,merchant ORDER BY datetime asc) as rk_cate
from (
select datetime, user_id, order_id, cate, merchant
from `momovn-prod.BU_ECOM.DLS_ALL_TRANS_V3_1`
WHERE CATE = 'LOGISTICS' AND EXTRACT(YEAR FROM `DATETIME`) = 2024
-- AND USER_ID = 80706405
ORDER BY USER_ID
))
WHERE rk_cate  = 1
GROUP BY 1,2
</t>
  </si>
  <si>
    <t xml:space="preserve">CREATE OR REPLACE TABLE  `momovn-prod.BU_ECOM.MATT_TEST_GRAB_NEW_USER_0609` AS
with raw as (
select distinct
  month,
  date,
  datetime,
  user_id,
  order_id,
  cate,
  merchant,
  case when sub_merchant is null then merchant else sub_merchant end as sub_merchant,
  row_number () over (partition by user_id,merchant,sub_merchant order by datetime) as first_trans
FROM `momovn-prod.BU_ECOM.DLS_ALL_TRANS_V3_1`
WHERE CATE IN ('LOGISTICS') 
Qualify first_trans = 1 
),
final as (
select 
 t1.*,
  row_number() over (partition by user_id,cate order by datetime) as rank_cate,
  row_number() over (partition by user_id,merchant order by datetime) as rank_merchant,
  row_number() over (partition by user_id,merchant,sub_merchant order by datetime) as rank_sub_merchant
from raw t1
)
select *,
  case when rank_cate = 1 then user_id end as NTC,
  case when rank_merchant = 1 then user_id end as NTMC,
  case when rank_sub_merchant = 1 then user_id end as NTSMC,
from final
</t>
  </si>
  <si>
    <t xml:space="preserve">select * from (select
datetime,
USER_ID,
CATE,
RANK() OVER (PARTITION BY USER_ID ORDER BY DATETIME ASC) as rk
FROM `momovn-prod.BU_ECOM.DLS_ALL_TRANS_V3_1`
where CATE = 'LOGISTICS'
)
where rk = 1
</t>
  </si>
  <si>
    <t xml:space="preserve">select 
FORMAT_DATE("%Y/%m/%d",datetime) as day,
merchant, 
COUNT(DISTINCT user_id) as total_users FROM(
select *, 
rank() over(partition by user_id,cate,merchant ORDER BY datetime asc) as rk_cate
from (
select datetime, user_id, order_id, cate, merchant
from `momovn-prod.BU_ECOM.DLS_ALL_TRANS_V3_1`
WHERE CATE = 'LOGISTICS' AND EXTRACT(YEAR FROM `DATETIME`) = 2024
-- AND USER_ID = 80706405
ORDER BY USER_ID
))
WHERE rk_cate  = 1
GROUP BY 1,2
ORDER BY 1 
</t>
  </si>
  <si>
    <t>select distinct
  date,
  user_id,
  order_id,
  cate,
  merchant,
  row_number () over (partition by user_id,cate,merchant order by datetime) rank
from  `momovn-prod.BU_ECOM.DLS_ALL_TRANS_V3_1`
where cate in ('LOGISTICS')</t>
  </si>
  <si>
    <t>select distinct
  month,
  datetime
  user_id,
  order_id,
  cate,
  merchant
from  `momovn-prod.BU_ECOM.DLS_ALL_TRANS_V3_1`
where cate in ('LOGISTICS','MARKETPLACE')
and user_id in (41039170,45510998)
order by user_id, datetime</t>
  </si>
  <si>
    <t>select distinct
  month,
  datetime,
  user_id,
  order_id,
  cate,
  merchant
from  `momovn-prod.BU_ECOM.DLS_ALL_TRANS_V3_1`
where cate in ('LOGISTICS','MARKETPLACE')
and user_id in (41039170,45510998)
order by user_id, datetime</t>
  </si>
  <si>
    <t xml:space="preserve">with a as (
select
  date,
  user_id,
  order_id,
  cate,
  merchant,
  row_number () over (partition by user_id, cate order by datetime) as rank_cate,
  row_number () over (partition by user_id,cate,merchant order by datetime) rank_merchant
from  `momovn-prod.BU_ECOM.DLS_ALL_TRANS_V3_1`
where cate in ('LOGISTICS',"MARKETPLACE") and user_id in (41039170,45510998)
)
select *,
  case when rank_cate = 1 then user_id end as ntc,
  case when rank_merchant = 1 then user_id end as ntmc
from a 
</t>
  </si>
  <si>
    <t>select *, 
rank() over(partition by cate ORDER BY datetime asc) as rk from (
select datetime,user_id,order_id,cate,merchant
from `momovn-prod.BU_ECOM.DLS_ALL_TRANS_V3_1`
WHERE CATE IN ('LOGISTICS','MARKETPLACE') and user_id  = 90075231
)</t>
  </si>
  <si>
    <t>select
-- user_id,
datetime,
cate, 
merchant,
rank() over(partition by user_id order by datetime) as rk
from (
select *
from `momovn-prod.BU_ECOM.DLS_ALL_TRANS_V3_1`
WHERE USER_ID = 58726956 and CATE = 'LOGISTICS'
ORDER BY DATETIME
)</t>
  </si>
  <si>
    <t>CREATE OR REPLACE TABLE  `momovn-prod.BU_ECOM.MATT_TEST_GRAB_NEW_USER_0609` AS
with raw as (
select distinct
  month,
  date,
  datetime,
  user_id,
  order_id,
  cate,
  merchant,
  case when sub_merchant is null then merchant else sub_merchant end as sub_merchant,
  row_number () over (partition by user_id,merchant order by datetime) as first_trans
FROM `momovn-prod.BU_ECOM.DLS_ALL_TRANS_V3_1`
WHERE CATE IN ('LOGISTICS') 
Qualify first_trans = 1 
)
select 
 t1.*,
  row_number() over (partition by user_id,cate order by datetime) as rank_cate,
  row_number() over (partition by user_id,merchant order by datetime) as rank_merchant,
  row_number() over (partition by user_id,merchant,sub_merchant order by datetime) as rank_sub_merchant
from raw t1</t>
  </si>
  <si>
    <t xml:space="preserve">select 
FORMAT_DATE("%Y/%m/%d",datetime) as day,
merchant, 
COUNT(DISTINCT user_id) as total_users FROM(
select *, 
rank() over(partition by user_id,cate,merchant ORDER BY datetime asc) as rk_cate
from (
select datetime, user_id, order_id, cate, merchant
from `momovn-prod.BU_ECOM.DLS_ALL_TRANS_V3_1`
WHERE CATE = 'LOGISTICS' --AND EXTRACT(YEAR FROM `DATETIME`) = 2024
-- AND USER_ID = 80706405
ORDER BY USER_ID
))
WHERE rk_cate  = 1 and datetime &gt;= '2024-01-01'
GROUP BY 1,2
ORDER BY 1 
</t>
  </si>
  <si>
    <t xml:space="preserve">select 
FORMAT_DATE("%Y/%m/%d",datetime) as day,
merchant, 
COUNT(DISTINCT user_id) as total_users FROM(
select *, 
rank() over(partition by user_id,cate,merchant ORDER BY datetime asc) as rk_cate
from (
select datetime, user_id, order_id, cate, merchant
from `momovn-prod.BU_ECOM.DLS_ALL_TRANS_V3_1`
WHERE CATE = 'LOGISTICS' AND EXTRACT(YEAR FROM `DATETIME`) = 2024
-- AND USER_ID = 80706405
ORDER BY USER_ID
))
WHERE rk_cate  = 1 --and datetime &gt;= '2024-01-01'
GROUP BY 1,2
ORDER BY 1 
</t>
  </si>
  <si>
    <t>select
user_id,
order_id,
datetime,
cate, 
merchant,
rank() over(partition by user_id order by datetime) as rk
from (
select *
from `momovn-prod.BU_ECOM.DLS_ALL_TRANS_V3_1`
WHERE USER_ID = 58726956 and CATE = 'LOGISTICS'
ORDER BY DATETIME
)</t>
  </si>
  <si>
    <t xml:space="preserve">select *, 
rank() over(partition by user_id,cate,merchant ORDER BY datetime asc) as rk_cate
from (
select datetime, user_id, order_id, cate, merchant
from `momovn-prod.BU_ECOM.DLS_ALL_TRANS_V3_1`
WHERE CATE = 'LOGISTICS' AND USER_ID = 80706405
)
</t>
  </si>
  <si>
    <t xml:space="preserve">select * from (select
datetime,
USER_ID,
CATE,
RANK() OVER (PARTITION BY USER_ID ORDER BY DATETIME ASC) as rk
FROM `momovn-prod.BU_ECOM.DLS_ALL_TRANS_V3_1`
where CATE = 'LOGISTICS'
)
where rk = 1 and EXTRACT(YEAR FROM `DATETIME`) = 2024
</t>
  </si>
  <si>
    <t xml:space="preserve">
        SELECT 
        CAST(GMV AS STRING) AS value,
        COUNT(*) AS freq
        FROM `momovn-prod.BU_ECOM.DLS_ALL_TRANS_V3_1`
        GROUP BY value
        ORDER BY freq DESC
        LIMIT 5
        </t>
  </si>
  <si>
    <t xml:space="preserve">
        SELECT 
        CAST(GENDER AS STRING) AS value,
        COUNT(*) AS freq
        FROM `momovn-prod.BU_ECOM.DLS_ALL_TRANS_V3_1`
        GROUP BY value
        ORDER BY freq DESC
        LIMIT 5
        </t>
  </si>
  <si>
    <t xml:space="preserve">
        SELECT 
        CAST(IS_KYC AS STRING) AS value,
        COUNT(*) AS freq
        FROM `momovn-prod.BU_ECOM.DLS_ALL_TRANS_V3_1`
        GROUP BY value
        ORDER BY freq DESC
        LIMIT 5
        </t>
  </si>
  <si>
    <t xml:space="preserve">
        SELECT 
        CAST(REGION AS STRING) AS value,
        COUNT(*) AS freq
        FROM `momovn-prod.BU_ECOM.DLS_ALL_TRANS_V3_1`
        GROUP BY value
        ORDER BY freq DESC
        LIMIT 5
        </t>
  </si>
  <si>
    <t xml:space="preserve">
        SELECT 
        CAST(BU_NAME AS STRING) AS value,
        COUNT(*) AS freq
        FROM `momovn-prod.BU_ECOM.DLS_ALL_TRANS_V3_1`
        GROUP BY value
        ORDER BY freq DESC
        LIMIT 5
        </t>
  </si>
  <si>
    <t xml:space="preserve">
        SELECT 
        CAST(REFUND_REV AS STRING) AS value,
        COUNT(*) AS freq
        FROM `momovn-prod.BU_ECOM.DLS_ALL_TRANS_V3_1`
        GROUP BY value
        ORDER BY freq DESC
        LIMIT 5
        </t>
  </si>
  <si>
    <t xml:space="preserve">
        SELECT 
        CAST(PARTNER_CODE AS STRING) AS value,
        COUNT(*) AS freq
        FROM `momovn-prod.BU_ECOM.DLS_ALL_TRANS_V3_1`
        GROUP BY value
        ORDER BY freq DESC
        LIMIT 5
        </t>
  </si>
  <si>
    <t xml:space="preserve">select *
from `momovn-prod.BU_ECOM.DLS_ALL_TRANS_V3_1`
where user_id = 49770676
order by datetime 
</t>
  </si>
  <si>
    <t xml:space="preserve">select *
from `momovn-prod.BU_ECOM.DLS_ALL_TRANS_V3_1`
where user_id = 1916155 and datetime &gt;= '2024-01-01'
order by datetime 
</t>
  </si>
  <si>
    <t xml:space="preserve">select *
from `momovn-prod.BU_ECOM.DLS_ALL_TRANS_V3_1`
where user_id = 24057660 and datetime &gt;= '2024-01-01'
order by datetime 
</t>
  </si>
  <si>
    <t xml:space="preserve">select *
from `momovn-prod.BU_ECOM.DLS_ALL_TRANS_V3_1`
where user_id = 27581096 and datetime &gt;= '2024-01-01'
order by datetime 
</t>
  </si>
  <si>
    <t xml:space="preserve">select *
from `momovn-prod.BU_ECOM.DLS_ALL_TRANS_V3_1`
where user_id = 49770676 and datetime &gt;= '2024-01-01'
order by datetime 
</t>
  </si>
  <si>
    <t xml:space="preserve">select *
from `momovn-prod.BU_ECOM.DLS_ALL_TRANS_V3_1`
where user_id = 51893198 and datetime &gt;= '2024-01-01'
order by datetime 
</t>
  </si>
  <si>
    <t xml:space="preserve">select *
from `momovn-prod.BU_ECOM.DLS_ALL_TRANS_V3_1`
where user_id = 61479519 and datetime &gt;= '2024-01-01'
order by datetime 
</t>
  </si>
  <si>
    <t xml:space="preserve">select *
from `momovn-prod.BU_ECOM.DLS_ALL_TRANS_V3_1`
where user_id = 66351193 and datetime &gt;= '2024-01-01'
order by datetime 
</t>
  </si>
  <si>
    <t xml:space="preserve">select *
from `momovn-prod.BU_ECOM.DLS_ALL_TRANS_V3_1`
where user_id = 82687448 and datetime &gt;= '2024-01-01'
order by datetime 
</t>
  </si>
  <si>
    <t>select datetime, user_id, order_id, cate, merchant
from  `momovn-prod.BU_ECOM.DLS_ALL_TRANS_V3_1`
where user_id = 14625187 
order by datetime</t>
  </si>
  <si>
    <t xml:space="preserve">  SELECT 
    DISTINCT Month,
    USER_ID,
    CATE
  FROM `momovn-prod.BU_ECOM.DLS_ALL_TRANS_V3_1`
  WHERE date &gt;= '2024-01-01' and USER_ID IN (51893198)</t>
  </si>
  <si>
    <t xml:space="preserve">select datetime,user_id,order_id, cate,merchant,service_code
from `momovn-prod.BU_ECOM.DLS_ALL_TRANS_V3_1`
where user_id = 27581096 and datetime &gt;= '2024-01-01'
order by datetime 
</t>
  </si>
  <si>
    <t>with monthly_user as (
    SELECT
    month,
    CATE,
    USER_ID
  FROM
  `momovn-prod.BU_ECOM.DLS_ALL_TRANS_V3_1`  
  WHERE date &gt;= '2023-12-01' and CATE IN ('LOGISTICS','ADS PAYMENT','APPLICATION STORE','MARKETPLACE','GAME','OTT','DIGITAL', 'CONTENT')
),
retained_users as(
  SELECT 
    cur.month,
    cur.CATE,
    COUNT(DISTINCT pre.user_id) as returning_users,
    COUNT(DISTINCT cur.user_id) as total_users
  FROM monthly_user cur
  LEFT JOIN monthly_user pre ON cur.user_id = pre.user_id
                          and cur.cate = pre.cate
                          and pre.month = DATE_SUB(cur.month, INTERVAL 1 MONTH)
  GROUP BY 1,2
),
joined_table as(
  select
    month,
    cate,
    returning_users,
    LAG(total_users) over(order by month) as pre_total_users,
    total_users
  FROM retained_users 
  ORDER BY 1
)
SELECT 
*,
SAFE_DIVIDE(returning_users,pre_total_users)
FROM joined_table
ORDER BY 1</t>
  </si>
  <si>
    <t>WITH monthly_user AS (
  SELECT
    DATE_TRUNC(date, MONTH) AS month,
    CATE,
    USER_ID
  FROM `momovn-prod.BU_ECOM.DLS_ALL_TRANS_V3_1`
  WHERE date &gt;= '2023-12-01' 
    AND CATE IN ('LOGISTICS', 'ADS PAYMENT', 'APPLICATION STORE', 'MARKETPLACE', 'GAME', 'OTT', 'DIGITAL', 'CONTENT')
),
retention_data AS (
  SELECT 
    cur.month,
    cur.CATE,
    COUNT(DISTINCT cur.user_id) AS total_users,
    COUNT(DISTINCT pre.user_id) AS returning_users,
    LAG(COUNT(DISTINCT cur.user_id)) OVER (PARTITION BY cur.CATE ORDER BY cur.month) AS pre_total_users
  FROM monthly_user cur
  LEFT JOIN monthly_user pre 
    ON cur.user_id = pre.user_id
    AND cur.cate = pre.cate
    AND pre.month = DATE_SUB(cur.month, INTERVAL 1 MONTH)
  GROUP BY 1, 2
)
SELECT 
  month,
  cate,
  returning_users,
  pre_total_users,
  total_users,
  SAFE_DIVIDE(returning_users, pre_total_users) AS retention_rate
FROM retention_data
ORDER BY month, cate</t>
  </si>
  <si>
    <t>WITH monthly_user AS (
  SELECT
    DATE_TRUNC(date, MONTH) AS month,
    CATE,
    USER_ID
  FROM `momovn-prod.BU_ECOM.DLS_ALL_TRANS_V3_1`
  WHERE date &gt;= '2024-08-01' 
    AND CATE IN ('LOGISTICS', 'ADS PAYMENT', 'APPLICATION STORE', 'MARKETPLACE', 'GAME', 'OTT', 'DIGITAL', 'CONTENT')
),
retention_data AS (
  SELECT 
    cur.month,
    cur.CATE,
    COUNT(DISTINCT cur.user_id) AS total_users,
    COUNT(DISTINCT pre.user_id) AS returning_users,
    LAG(COUNT(DISTINCT cur.user_id)) OVER (PARTITION BY cur.CATE ORDER BY cur.month) AS pre_total_users
  FROM monthly_user cur
  LEFT JOIN monthly_user pre 
    ON cur.user_id = pre.user_id
    AND cur.cate = pre.cate
    AND pre.month = DATE_SUB(cur.month, INTERVAL 1 MONTH)
  GROUP BY 1, 2
)
SELECT 
  month,
  cate,
  returning_users,
  pre_total_users,
  total_users,
  SAFE_DIVIDE(returning_users, pre_total_users) AS retention_rate
FROM retention_data
ORDER BY month, cate</t>
  </si>
  <si>
    <t>select count (distinct order_id), count (distinct case when store_id is null then order_id end)
from `momovn-prod.BU_ECOM.DLS_ALL_TRANS_V3_1`
where merchant = 'GRAB-ENDUSER' and month = '2024-08-01'</t>
  </si>
  <si>
    <t>select count (distinct order_id), count (distinct case when store_id is null then order_id end)
from `momovn-prod.BU_ECOM.DLS_ALL_TRANS_V3_1`
--where merchant = 'GRAB-ENDUSER' and month = '2024-08-01'
where month = '2024-08-01'</t>
  </si>
  <si>
    <t>SELECT COUNT(*) AS transaction_count
FROM `momovn-prod.BU_ECOM.DLS_ALL_TRANS_V3_1`
WHERE CATE = 'APPLICATION STORE'
AND DATE = '2024-08-01'</t>
  </si>
  <si>
    <t xml:space="preserve">SELECT COUNT(DISTINCT t.USER_ID) AS USER
FROM `momovn-prod.BU_ECOM.DLS_ALL_TRANS_V3_1` t
WHERE t.CATE = 'MARKETPLACE'
AND DATE_TRUNC(t.DATE, MONTH) = '2024-09-01'
</t>
  </si>
  <si>
    <t xml:space="preserve">
        SELECT 
        CAST(CATE AS STRING) AS value,
        COUNT(*) AS freq
        FROM `momovn-prod.BU_ECOM.DLS_ALL_TRANS_V3_1`
        GROUP BY value
        ORDER BY freq DESC
        LIMIT 5
        </t>
  </si>
  <si>
    <t xml:space="preserve">
        SELECT 
        CAST(CITY AS STRING) AS value,
        COUNT(*) AS freq
        FROM `momovn-prod.BU_ECOM.DLS_ALL_TRANS_V3_1`
        GROUP BY value
        ORDER BY freq DESC
        LIMIT 5
        </t>
  </si>
  <si>
    <t xml:space="preserve">
        SELECT 
        CAST(USER_ID AS STRING) AS value,
        COUNT(*) AS freq
        FROM `momovn-prod.BU_ECOM.DLS_ALL_TRANS_V3_1`
        GROUP BY value
        ORDER BY freq DESC
        LIMIT 5
        </t>
  </si>
  <si>
    <t xml:space="preserve">
        SELECT 
        CAST(MERCHANT AS STRING) AS value,
        COUNT(*) AS freq
        FROM `momovn-prod.BU_ECOM.DLS_ALL_TRANS_V3_1`
        GROUP BY value
        ORDER BY freq DESC
        LIMIT 5
        </t>
  </si>
  <si>
    <t xml:space="preserve">
        SELECT 
        CAST(ALL_IN_ONE AS STRING) AS value,
        COUNT(*) AS freq
        FROM `momovn-prod.BU_ECOM.DLS_ALL_TRANS_V3_1`
        GROUP BY value
        ORDER BY freq DESC
        LIMIT 5
        </t>
  </si>
  <si>
    <t xml:space="preserve">
        SELECT 
        CAST(QD2345_CHECK AS STRING) AS value,
        COUNT(*) AS freq
        FROM `momovn-prod.BU_ECOM.DLS_ALL_TRANS_V3_1`
        GROUP BY value
        ORDER BY freq DESC
        LIMIT 5
        </t>
  </si>
  <si>
    <t xml:space="preserve">
        SELECT 
        CAST(SUB_MERCHANT AS STRING) AS value,
        COUNT(*) AS freq
        FROM `momovn-prod.BU_ECOM.DLS_ALL_TRANS_V3_1`
        GROUP BY value
        ORDER BY freq DESC
        LIMIT 5
        </t>
  </si>
  <si>
    <t xml:space="preserve">
        SELECT 
        CAST(BU_GROUP_CODE_L2 AS STRING) AS value,
        COUNT(*) AS freq
        FROM `momovn-prod.BU_ECOM.DLS_ALL_TRANS_V3_1`
        GROUP BY value
        ORDER BY freq DESC
        LIMIT 5
        </t>
  </si>
  <si>
    <t xml:space="preserve">
        SELECT 
        CAST(IS_FACE_MATCHING AS STRING) AS value,
        COUNT(*) AS freq
        FROM `momovn-prod.BU_ECOM.DLS_ALL_TRANS_V3_1`
        GROUP BY value
        ORDER BY freq DESC
        LIMIT 5
        </t>
  </si>
  <si>
    <t>WITH ALL_TRANS AS (
  SELECT DISTINCT
    USER_ID,
    ORDER_ID,
    MONTH,
    DATE,
    DATETIME,
    MERCHANT,
    SERVICE_CODE,
    STORE_ID,
    CASHBACK_AMOUNT,
    CASHBACK_AGENTID,
    SUM (CASHBACK_AMOUNT) OVER (PARTITION BY USER_ID, MONTH, CATE ORDER BY DATETIME) AS CASHBACK_ACCUM_BY_TRANS,
    GMV,
    SUM (GMV) OVER (PARTITION BY USER_ID, MONTH, CATE ORDER BY DATETIME) AS GMV_ACCUM
  FROM `momovn-prod.BU_ECOM.DLS_ALL_TRANS_V3_1` 
  WHERE CHEATING &lt;&gt; 'CHEAT' AND CATE = 'ADS PAYMENT' AND USER_ID = 34331425 and month = '2024-04-01'
  ORDER BY DATETIME
),
ACCUM_GMV_BY_DATE AS (
  SELECT DISTINCT
    USER_ID,
    DATE,
    MAX (GMV_ACCUM) AS GMV_CATE_ACCUM,
    MAX(CASHBACK_ACCUM_BY_TRANS) AS CASHBACK_ACCUM
  FROM ALL_TRANS
  GROUP BY 1,2
)
-- FINAL AS(
SELECT T1.* EXCEPT (GMV_ACCUM, CASHBACK_ACCUM_BY_TRANS), T2.GMV_CATE_ACCUM, T2.CASHBACK_ACCUM,
  CASE WHEN T2.GMV_CATE_ACCUM &gt;= 90000000 THEN '2'
    WHEN T2.GMV_CATE_ACCUM &gt;= 50000000 THEN '1'
    ELSE '0' END AS LEVEL_CODE
FROM ALL_TRANS T1
LEFT JOIN ACCUM_GMV_BY_DATE T2
  ON T1.USER_ID = T2.USER_ID
  AND T1.DATE = T2.DATE 
WHERE CASHBACK_AMOUNT IS NOT NULL AND CASHBACK_AGENTID IS NOT NULL
-- ),
-- ALL_MONTH_CODE AS (
--   SELECT 
--     MONTH,
--     USER_ID,
--     MAX(LEVEL_CODE) AS FINAL_LEVEL_CODE
--   FROM FINAL
--   GROUP BY 1,2
-- )
-- SELECT
--   T1.* EXCEPT (LEVEL_CODE), T2.FINAL_LEVEL_CODE
-- FROM FINAL T1
-- LEFT JOIN ALL_MONTH_CODE T2
--   ON T1.USER_ID = T2.USER_ID
--     AND T1.MONTH = T2.MONTH</t>
  </si>
  <si>
    <t>create or replace table `momovn-prod.BU_ECOM.CHECK_GRAB_270824` AS 
select distinct DATETIME, USER_ID, ORDER_ID as TID, TRANS_TYPE, REQ_TYPE,PARTNER_CODE,STORE_ID,MONEY_SOURCE,MONEY_SOURCE_NAME,SERVICE_CODE, MERCHANT, SUB_MERCHANT, CATE, GMV
from `momovn-prod.BU_ECOM.DLS_ALL_TRANS_V3_1`
where date = '2024-08-27' and merchant = 'GRAB-ENDUSER' and sub_merchant in ('GRAB TRANSPORT','GRAB FOOD')</t>
  </si>
  <si>
    <t xml:space="preserve">select date, 
  count (distinct case when sub_merchant = 'GRAB TRANSPORT' then order_id end) as transport,
  count (distinct case when sub_merchant = 'GRAB FOOD' then order_id end) as food,
  count (distinct case when sub_merchant = 'GRAB OTHERS' then order_id end) as others,
from `momovn-prod.BU_ECOM.DLS_ALL_TRANS_V3_1`
where merchant = 'GRAB-ENDUSER' and month = '2024-08-01'
group by 1
order by 1 desc
</t>
  </si>
  <si>
    <t xml:space="preserve">select date, sub_merchant, 
  count (distinct case when sub_merchant = 'GRAB TRANSPORT' then order_id end) as transport,
  count (distinct case when sub_merchant = 'GRAB FOOD' then order_id end) as transport,
  count (distinct case when sub_merchant = 'GRAB OTHERS' then order_id end) as others,
from `momovn-prod.BU_ECOM.DLS_ALL_TRANS_V3_1`
where merchant = 'GRAB-ENDUSER' and month = '2024-08-01'
group by 1,2
order by 1,2 desc
</t>
  </si>
  <si>
    <t>SELECT * FROM `momovn-prod.BU_ECOM.DLS_ALL_TRANS_V3_1` WHERE ORDER_ID = 64425296130</t>
  </si>
  <si>
    <t>SELECT * FROM `momovn-prod.BU_ECOM.DLS_ALL_TRANS_V3_1` 
WHERE ORDER_ID = 50883869757</t>
  </si>
  <si>
    <t>SELECT * FROM `momovn-prod.BU_ECOM.DLS_ALL_TRANS_V3_1` 
WHERE ORDER_ID = 50902466187</t>
  </si>
  <si>
    <t>SELECT * FROM `momovn-prod.BU_ECOM.DLS_ALL_TRANS_V3_1` 
WHERE ORDER_ID = 50904908699</t>
  </si>
  <si>
    <t>SELECT * FROM `momovn-prod.BU_ECOM.DLS_ALL_TRANS_V3_1` 
WHERE ORDER_ID = 50906356427</t>
  </si>
  <si>
    <t xml:space="preserve">SELECT * FROM `momovn-prod.BU_ECOM.DLS_ALL_TRANS_V3_1` WHERE ORDER_ID = 64421312574
</t>
  </si>
  <si>
    <t xml:space="preserve">SELECT * FROM `momovn-prod.BU_ECOM.DLS_ALL_TRANS_V3_1` WHERE ORDER_ID = 64423663966
</t>
  </si>
  <si>
    <t xml:space="preserve">SELECT *  FROM `momovn-prod.BU_ECOM.DLS_ALL_TRANS_V3_1` WHERE ORDER_ID = 50916222929
</t>
  </si>
  <si>
    <t xml:space="preserve">SELECT * FROM `momovn-prod.BU_ECOM.DLS_ALL_TRANS_V3_1` WHERE USER_ID = 66316528
ORDER BY DATE
</t>
  </si>
  <si>
    <t xml:space="preserve">SELECT * FROM `momovn-prod.BU_ECOM.DLS_ALL_TRANS_V3_1` WHERE USER_ID = 55091594
ORDER BY DATE
</t>
  </si>
  <si>
    <t xml:space="preserve">SELECT * FROM `momovn-prod.BU_ECOM.DLS_ALL_TRANS_V3_1` WHERE USER_ID = 93702199
ORDER BY DATE
</t>
  </si>
  <si>
    <t xml:space="preserve">SELECT * FROM `momovn-prod.BU_ECOM.DLS_ALL_TRANS_V3_1` WHERE USER_ID = 30075294
 and MONTH = '2024-08-01'
</t>
  </si>
  <si>
    <t xml:space="preserve">SELECT * FROM `momovn-prod.BU_ECOM.DLS_ALL_TRANS_V3_1` WHERE USER_ID = 64423663966 and MONTH = '2024-08-01'
</t>
  </si>
  <si>
    <t xml:space="preserve">SELECT * FROM `momovn-prod.BU_ECOM.DLS_ALL_TRANS_V3_1` WHERE USER_ID = 30075294
 and ORDER_ID IN (64421312574,64421312574)
</t>
  </si>
  <si>
    <t xml:space="preserve">SELECT * FROM `momovn-prod.BU_ECOM.DLS_ALL_TRANS_V3_1` WHERE USER_ID = 30075294
 and ORDER_ID IN (64421312574,64425296130)
</t>
  </si>
  <si>
    <t>select *
from `momovn-prod.BU_ECOM.DLS_ALL_TRANS_V3_1`
where date = '2024-08-27' and merchant = 'GRAB-ENDUSER' and sub_merchant in ('GRAB TRANSPORT','GRAB FOOD')</t>
  </si>
  <si>
    <t>select *
from `momovn-prod.BU_ECOM.DLS_ALL_TRANS_V3_1`
where merchant = 'GRAB-ENDUSER' and sub_merchant in ('GRAB TRANSPORT','GRAB FOOD') and order_id = 65487907706</t>
  </si>
  <si>
    <t>select distinct store_id
from `momovn-prod.BU_ECOM.DLS_ALL_TRANS_V3_1`
where date = '2024-08-27' and merchant = 'GRAB-ENDUSER' and sub_merchant in ('GRAB TRANSPORT','GRAB FOOD')</t>
  </si>
  <si>
    <t xml:space="preserve">select date, sub_merchant, count (distinct order_id)
from `momovn-prod.BU_ECOM.DLS_ALL_TRANS_V3_1`
where merchant = 'GRAB-ENDUSER' and month = '2024-08-01'
group by 1,2
order by 1,2 desc
</t>
  </si>
  <si>
    <t xml:space="preserve">SELECT ORDER_ID, USER_ID,GMV, TOTAL_REV, REFUND_REV, NET_REV,PROMO_AMOUNT, REFUND_AMOUNT,CASHBACK_AMOUNT
 FROM `momovn-prod.BU_ECOM.DLS_ALL_TRANS_V3_1` WHERE USER_ID = 30075294
 and ORDER_ID IN (64421312574,64425296130)
</t>
  </si>
  <si>
    <t xml:space="preserve">  SELECT DISTINCT 
    T2.USER_ID,
    T1.DATE_LOI,
    T2.ORDER_ID, 
    T2.GMV,
    T2.DATETIME  
  FROM FAIL_USER T1 
  JOIN `momovn-prod.BU_ECOM.DLS_ALL_TRANS_V3_1` T2
    ON T1.USER_ID = T2.USER_ID 
    AND T2.DATE ='2024-10-26' 
    AND T2.CATE IN ('LOGISTICS','ADS PAYMENT','APPLICATION STORE','MARKETPLACE','GAME','OTT','DIGITAL CONTENT')</t>
  </si>
  <si>
    <t xml:space="preserve"> SELECT DISTINCT
  SERVICE_CODE, 
  MERCHANT
 FROM `momovn-prod.BU_ECOM.DLS_ALL_TRANS_V3_1`
 WHERE MERCHANT = 'APPLE' AND MONTH &gt;= '2024-10-01'</t>
  </si>
  <si>
    <t xml:space="preserve"> SELECT DISTINCT
  SERVICE_CODE, 
  MERCHANT
 FROM `momovn-prod.BU_ECOM.DLS_ALL_TRANS_V3_1`
 WHERE SERVICE_CODE like '%APPLE%' AND MONTH &gt;= '2024-10-01'</t>
  </si>
  <si>
    <t xml:space="preserve"> SELECT DISTINCT
  SERVICE_CODE, 
  MERCHANT
 FROM `momovn-prod.BU_ECOM.DLS_ALL_TRANS_V3_1`
 WHERE SERVICE_CODE like '%apple%' AND MONTH &gt;= '2024-10-01'</t>
  </si>
  <si>
    <t xml:space="preserve">
        SELECT 
        CAST(AGE AS STRING) AS value,
        COUNT(*) AS freq
        FROM `momovn-prod.BU_ECOM.DLS_ALL_TRANS_V3_1`
        GROUP BY value
        ORDER BY freq DESC
        LIMIT 5
        </t>
  </si>
  <si>
    <t xml:space="preserve">
        SELECT 
        CAST(DATE AS STRING) AS value,
        COUNT(*) AS freq
        FROM `momovn-prod.BU_ECOM.DLS_ALL_TRANS_V3_1`
        GROUP BY value
        ORDER BY freq DESC
        LIMIT 5
        </t>
  </si>
  <si>
    <t xml:space="preserve">
        SELECT 
        CAST(MONTH AS STRING) AS value,
        COUNT(*) AS freq
        FROM `momovn-prod.BU_ECOM.DLS_ALL_TRANS_V3_1`
        GROUP BY value
        ORDER BY freq DESC
        LIMIT 5
        </t>
  </si>
  <si>
    <t xml:space="preserve">
        SELECT 
        CAST(NET_REV AS STRING) AS value,
        COUNT(*) AS freq
        FROM `momovn-prod.BU_ECOM.DLS_ALL_TRANS_V3_1`
        GROUP BY value
        ORDER BY freq DESC
        LIMIT 5
        </t>
  </si>
  <si>
    <t xml:space="preserve">
        SELECT 
        CAST(CHEATING AS STRING) AS value,
        COUNT(*) AS freq
        FROM `momovn-prod.BU_ECOM.DLS_ALL_TRANS_V3_1`
        GROUP BY value
        ORDER BY freq DESC
        LIMIT 5
        </t>
  </si>
  <si>
    <t xml:space="preserve">
        SELECT 
        CAST(DATETIME AS STRING) AS value,
        COUNT(*) AS freq
        FROM `momovn-prod.BU_ECOM.DLS_ALL_TRANS_V3_1`
        GROUP BY value
        ORDER BY freq DESC
        LIMIT 5
        </t>
  </si>
  <si>
    <t xml:space="preserve">
        SELECT 
        CAST(ORDER_ID AS STRING) AS value,
        COUNT(*) AS freq
        FROM `momovn-prod.BU_ECOM.DLS_ALL_TRANS_V3_1`
        GROUP BY value
        ORDER BY freq DESC
        LIMIT 5
        </t>
  </si>
  <si>
    <t xml:space="preserve">
        SELECT 
        CAST(REQ_TYPE AS STRING) AS value,
        COUNT(*) AS freq
        FROM `momovn-prod.BU_ECOM.DLS_ALL_TRANS_V3_1`
        GROUP BY value
        ORDER BY freq DESC
        LIMIT 5
        </t>
  </si>
  <si>
    <t xml:space="preserve">
        SELECT 
        CAST(STORE_ID AS STRING) AS value,
        COUNT(*) AS freq
        FROM `momovn-prod.BU_ECOM.DLS_ALL_TRANS_V3_1`
        GROUP BY value
        ORDER BY freq DESC
        LIMIT 5
        </t>
  </si>
  <si>
    <t xml:space="preserve">
        SELECT 
        CAST(SUB_CATE AS STRING) AS value,
        COUNT(*) AS freq
        FROM `momovn-prod.BU_ECOM.DLS_ALL_TRANS_V3_1`
        GROUP BY value
        ORDER BY freq DESC
        LIMIT 5
        </t>
  </si>
  <si>
    <t xml:space="preserve">
        SELECT 
        CAST(AGE_GROUP AS STRING) AS value,
        COUNT(*) AS freq
        FROM `momovn-prod.BU_ECOM.DLS_ALL_TRANS_V3_1`
        GROUP BY value
        ORDER BY freq DESC
        LIMIT 5
        </t>
  </si>
  <si>
    <t xml:space="preserve">
        SELECT 
        CAST(TOTAL_REV AS STRING) AS value,
        COUNT(*) AS freq
        FROM `momovn-prod.BU_ECOM.DLS_ALL_TRANS_V3_1`
        GROUP BY value
        ORDER BY freq DESC
        LIMIT 5
        </t>
  </si>
  <si>
    <t xml:space="preserve">
        SELECT 
        CAST(TRANS_TYPE AS STRING) AS value,
        COUNT(*) AS freq
        FROM `momovn-prod.BU_ECOM.DLS_ALL_TRANS_V3_1`
        GROUP BY value
        ORDER BY freq DESC
        LIMIT 5
        </t>
  </si>
  <si>
    <t xml:space="preserve">
        SELECT 
        CAST(MONEY_SOURCE AS STRING) AS value,
        COUNT(*) AS freq
        FROM `momovn-prod.BU_ECOM.DLS_ALL_TRANS_V3_1`
        GROUP BY value
        ORDER BY freq DESC
        LIMIT 5
        </t>
  </si>
  <si>
    <t xml:space="preserve">
        SELECT 
        CAST(PROMO_AMOUNT AS STRING) AS value,
        COUNT(*) AS freq
        FROM `momovn-prod.BU_ECOM.DLS_ALL_TRANS_V3_1`
        GROUP BY value
        ORDER BY freq DESC
        LIMIT 5
        </t>
  </si>
  <si>
    <t xml:space="preserve">
        SELECT 
        CAST(SERVICE_CODE AS STRING) AS value,
        COUNT(*) AS freq
        FROM `momovn-prod.BU_ECOM.DLS_ALL_TRANS_V3_1`
        GROUP BY value
        ORDER BY freq DESC
        LIMIT 5
        </t>
  </si>
  <si>
    <t xml:space="preserve">
        SELECT 
        CAST(GROUP_CODE_L1 AS STRING) AS value,
        COUNT(*) AS freq
        FROM `momovn-prod.BU_ECOM.DLS_ALL_TRANS_V3_1`
        GROUP BY value
        ORDER BY freq DESC
        LIMIT 5
        </t>
  </si>
  <si>
    <t xml:space="preserve">
        SELECT 
        CAST(REFUND_AMOUNT AS STRING) AS value,
        COUNT(*) AS freq
        FROM `momovn-prod.BU_ECOM.DLS_ALL_TRANS_V3_1`
        GROUP BY value
        ORDER BY freq DESC
        LIMIT 5
        </t>
  </si>
  <si>
    <t xml:space="preserve">
        SELECT 
        CAST(CASHBACK_AMOUNT AS STRING) AS value,
        COUNT(*) AS freq
        FROM `momovn-prod.BU_ECOM.DLS_ALL_TRANS_V3_1`
        GROUP BY value
        ORDER BY freq DESC
        LIMIT 5
        </t>
  </si>
  <si>
    <t xml:space="preserve">
        SELECT 
        CAST(BU_GROUP_CODE_L1 AS STRING) AS value,
        COUNT(*) AS freq
        FROM `momovn-prod.BU_ECOM.DLS_ALL_TRANS_V3_1`
        GROUP BY value
        ORDER BY freq DESC
        LIMIT 5
        </t>
  </si>
  <si>
    <t xml:space="preserve">
        SELECT 
        CAST(CASHBACK_AGENTID AS STRING) AS value,
        COUNT(*) AS freq
        FROM `momovn-prod.BU_ECOM.DLS_ALL_TRANS_V3_1`
        GROUP BY value
        ORDER BY freq DESC
        LIMIT 5
        </t>
  </si>
  <si>
    <t xml:space="preserve">
        SELECT 
        CAST(MONEY_SOURCE_NAME AS STRING) AS value,
        COUNT(*) AS freq
        FROM `momovn-prod.BU_ECOM.DLS_ALL_TRANS_V3_1`
        GROUP BY value
        ORDER BY freq DESC
        LIMIT 5
        </t>
  </si>
  <si>
    <t xml:space="preserve">with monthly_users AS (
  SELECT 
  *,
  LAG(total_users) OVER(ORDER BY month) as prev_total_users
  FROM(
  SELECT
    month,
    cate,
    merchant,
    COUNT(DISTINCT user_id) AS total_users
  FROM
  `momovn-prod.BU_ECOM.DLS_ALL_TRANS_V3_1`  
  WHERE date &gt;= '2023-12-01'
  and CATE = 'LOGISTICS' and merchant = 'GRAB-ENDUSER'
  GROUP BY 1,2,3
  )
),
retained_users AS (
  SELECT
    t1.month AS current_month,
    t1.cate,
    t1.merchant,
    COUNT(DISTINCT t1.user_id) AS returning_users
  FROM
    `momovn-prod.BU_ECOM.DLS_ALL_TRANS_V3_1` t1
  JOIN
    `momovn-prod.BU_ECOM.DLS_ALL_TRANS_V3_1` t2
  ON t1.user_id = t2.user_id
    AND t2.month = DATE_SUB(t1.month, INTERVAL 1 month)
    AND t2.CATE = t1.CATE
  WHERE t2.date &gt;= '2023-12-01'
  and t1.CATE = 'LOGISTICS' and t1.merchant = 'GRAB-ENDUSER'
  GROUP BY 1,2,3
)
SELECT
*
FROM retained_users ru
JOIN monthly_users mu
ON ru.current_month = mu.month and ru.cate = mu.cate and ru.merchant = mu.merchant
WHERE mu.prev_total_users is not null
</t>
  </si>
  <si>
    <t xml:space="preserve">with monthly_users AS (
  SELECT 
  *,
  LAG(total_users) OVER(ORDER BY month) as prev_total_users
  FROM(
  SELECT
    month,
    cate,
    merchant,
    COUNT(DISTINCT user_id) AS total_users
  FROM
  `momovn-prod.BU_ECOM.DLS_ALL_TRANS_V3_1`  
  WHERE date &gt;= '2023-12-01'
  and CATE = 'LOGISTICS' and merchant = 'GRAB_ENDUSER'
  GROUP BY 1,2,3
  )
),
retained_users AS (
  SELECT
    t1.month AS current_month,
    t1.cate,
    t1.merchant,
    COUNT(DISTINCT t1.user_id) AS returning_users
  FROM
    `momovn-prod.BU_ECOM.DLS_ALL_TRANS_V3_1` t1
  JOIN
    `momovn-prod.BU_ECOM.DLS_ALL_TRANS_V3_1` t2
  ON t1.user_id = t2.user_id
    AND t2.month = DATE_SUB(t1.month, INTERVAL 1 month)
    AND t2.CATE = t1.CATE
  WHERE t2.date &gt;= '2023-12-01'
  and t1.CATE = 'LOGISTICS' and t1.merchant = 'GRAB_ENDUSER'
  GROUP BY 1,2,3
)
SELECT
*
FROM retained_users ru
JOIN monthly_users mu
ON ru.current_month = mu.month and ru.cate = mu.cate and ru.merchant = mu.merchant
WHERE mu.prev_total_users is not null
</t>
  </si>
  <si>
    <t>WITH raw as (
SELECT
   USER_ID, 
   DATE, 
   MERCHANT
FROM `momovn-prod.BU_ECOM.DLS_ALL_TRANS_V3_1`
WHERE MERCHANT IN ('VIETLOTT SMS VIETTEL','VIETLOTT SMS MOBI','VIETLOTT SMS VINA')
)
SELECT
      DATE,
      COUNT(USER_ID)
FROM RAW
GROUP BY 1
ORDER BY 1 DESC</t>
  </si>
  <si>
    <t>WITH raw as (
SELECT
   USER_ID, 
   DATE, 
   MERCHANT
FROM `momovn-prod.BU_ECOM.DLS_ALL_TRANS_V3_1`
WHERE MERCHANT IN ('VIETLOTT SMS VIETTEL','VIETLOTT SMS MOBI','VIETLOTT SMS VINA')
)
SELECT
      DATE,
      COUNT(USER_ID) as obs
FROM RAW
GROUP BY 1
ORDER BY 1 DESC</t>
  </si>
  <si>
    <t xml:space="preserve">-- retention MOM Cate 
with base as (
  select distinct 
    month, 
    user_id,
    cate
  from  `momovn-prod.BU_ECOM.DLS_ALL_TRANS_V3_1`  
  where cate = 'LOGISTICS' and date &gt;= '2023-12-01'
),
monthly_users AS (
  SELECT
    month,
    cate,
    merchant,
    COUNT(DISTINCT user_id) AS total_users
  FROM
  `momovn-prod.BU_ECOM.DLS_ALL_TRANS_V3_1`  
  WHERE date &gt;= '2024-01-01' and cate = 'LOGISTICS' 
  GROUP BY 1,2,3
)
  SELECT
    t1.month,
    t1.user_id,
    t1.cate,
    t2.month,
    case when t2.month is not null then t2.user_id end as retain_cate 
  FROM base t1
  LEFT JOIN base t2
  ON t1.user_id = t2.user_id
    AND t2.month = DATE_ADD(t1.month, interval 1 month) 
    AND t1.cate = t2.cate 
  WHERE t2.month &gt;= '2024-01-01' and t1.user_id = 61771611
  order by t1.month
</t>
  </si>
  <si>
    <t>--1130924
with a as (
select distinct user_id
from  `momovn-prod.BU_ECOM.DLS_ALL_TRANS_V3_1` 
where cate = 'LOGISTICS' and month = '2024-09-01'
)
select count (distinct t1.user_id)
from  `momovn-prod.BU_ECOM.DLS_ALL_TRANS_V3_1` t1
JOIN a t2 using (user_id)
where t1.month &gt;= '2024-09-01'</t>
  </si>
  <si>
    <t>--1130924
with a as (
select distinct user_id
from  `momovn-prod.BU_ECOM.DLS_ALL_TRANS_V3_1` 
where cate = 'LOGISTICS' and month = '2024-09-01'
)
select count (distinct t1.user_id)
from  `momovn-prod.BU_ECOM.DLS_ALL_TRANS_V3_1` t1
LEFT JOIN a t2 using (user_id)
where t1.month &gt;= '2024-09-01'</t>
  </si>
  <si>
    <t xml:space="preserve">  SELECT 
  *,
  LAG(total_users) OVER(ORDER BY month) as prev_total_users
  FROM(
  SELECT
    month,
    cate,
    merchant,
    COUNT(DISTINCT user_id) AS total_users
  FROM
  `momovn-prod.BU_ECOM.DLS_ALL_TRANS_V3_1`  
  WHERE date &gt;= '2023-12-01'
  and CATE = 'LOGISTICS'
  GROUP BY 1,2,3</t>
  </si>
  <si>
    <t xml:space="preserve">-- retention MOM Cate 
with base as (
  select distinct 
    month, 
    user_id,
    cate
  from  `momovn-prod.BU_ECOM.DLS_ALL_TRANS_V3_1`  
  where cate = 'LOGISTICS' and date &gt;= '2023-12-01'
),
monthly_users AS (
  SELECT
    month,
    cate,
    merchant,
    COUNT(DISTINCT user_id) AS total_users
  FROM
  `momovn-prod.BU_ECOM.DLS_ALL_TRANS_V3_1`  
  WHERE date &gt;= '2024-01-01' and cate = 'LOGISTICS' 
  GROUP BY 1,2,3
),
final as (
  SELECT
    t1.month as t1_month,
    t1.user_id,
    t1.cate as t1_cate,
    t2.month as t2_month,
    t2.cate as t2_cate,
    case when t2.month is not null then t2.user_id end as retain_cate 
  FROM base t1
  LEFT JOIN base t2
  ON t1.user_id = t2.user_id
    AND t2.month = DATE_ADD(t1.month, interval 1 month) 
    AND t1.cate = t2.cate 
  WHERE t1.month &gt;= '2024-01-01' --and t1.user_id = 35552695
  order by t1.month
)
select 
t1_month, 
count (distinct retain_cate) as retain_user, 
count (distinct user_id) as total_user,
count (distinct retain_cate)/ count (distinct user_id) as retain_rate
from final
group by 1
</t>
  </si>
  <si>
    <t xml:space="preserve"> SELECT 
  *,
  LAG(total_users) OVER(ORDER BY month) as prev_total_users
  FROM(
  SELECT
    month,
    cate,
    merchant,
    COUNT(DISTINCT user_id) AS total_users
  FROM
  `momovn-prod.BU_ECOM.DLS_ALL_TRANS_V3_1`  
  WHERE date &gt;= '2023-12-01'
  and CATE = 'LOGISTICS'
  GROUP BY 1,2,3
  )</t>
  </si>
  <si>
    <t xml:space="preserve">with monthly_users AS (
  SELECT
    month,
    CATE,
    USER_ID
  FROM
  `momovn-prod.BU_ECOM.DLS_ALL_TRANS_V3_1`  
  WHERE date &gt;= '2023-12-01'
  and CATE IN ('LOGISTICS')
),
retained_users AS (
  SELECT
    t1.month AS current_month,
    t2.CATE,
    COUNT(DISTINCT t1.user_id) AS total_users,
    COUNT(DISTINCT t2.user_id) AS returning_user
  FROM
    monthly_users t1
  LEFT JOIN
    `momovn-prod.BU_ECOM.DLS_ALL_TRANS_V3_1` t2 
  ON t1.user_id = t2.user_id
    AND t2.month = DATE_SUB(t1.month, INTERVAL 1 month)
  WHERE t2.date &gt;= '2023-12-01'
  GROUP BY 1,2
),
join_table as(
  SELECT
  *,
  LAG(total_users) OVER(ORDER BY current_month) as previous_users
  FROM retained_users
)
SELECT 
  current_month, 
  CATE,
  SAFE_DIVIDE(returning_user,previous_users)
FROM join_table
</t>
  </si>
  <si>
    <t xml:space="preserve">  SELECT 
  *,
  LAG(total_users) OVER(ORDER BY month) as prev_total_users
  FROM(
  SELECT
    month,
    cate,
    merchant,
    COUNT(DISTINCT user_id) AS total_users
  FROM
  `momovn-prod.BU_ECOM.DLS_ALL_TRANS_V3_1`  
  WHERE date &gt;= '2023-12-01'
  and CATE = 'LOGISTICS'
  GROUP BY 1,2,3
  )</t>
  </si>
  <si>
    <t>with monthly_users AS (
  SELECT
    month,
    cate,
    merchant,
    COUNT(DISTINCT user_id) AS total_users
  FROM
  `momovn-prod.BU_ECOM.DLS_ALL_TRANS_V3_1`  
  WHERE date &gt;= '2024-01-01'
  GROUP BY 1,2,3
)
  SELECT
    t1.month AS current_month,
    t1.cate,
    t1.merchant,
    COUNT(DISTINCT t1.user_id) AS returning_users
  FROM
    `momovn-prod.BU_ECOM.DLS_ALL_TRANS_V3_1` t1
  JOIN
    `momovn-prod.BU_ECOM.DLS_ALL_TRANS_V3_1` t2
  ON t1.user_id = t2.user_id
    AND t2.month &lt; t1.month
  WHERE t2.date &gt;= '2024-01-01'
  GROUP BY 1,2,3</t>
  </si>
  <si>
    <t>with monthly_users AS (
  SELECT
    month,
    cate,
    merchant,
    COUNT(DISTINCT user_id) AS total_users
  FROM
  `momovn-prod.BU_ECOM.DLS_ALL_TRANS_V3_1`  
  WHERE date &gt;= '2024-08-01'
  GROUP BY 1,2,3
)
  SELECT
    t1.month AS current_month,
    t1.cate,
    t1.merchant,
    COUNT(DISTINCT t1.user_id) AS returning_users
  FROM
    `momovn-prod.BU_ECOM.DLS_ALL_TRANS_V3_1` t1
  JOIN
    `momovn-prod.BU_ECOM.DLS_ALL_TRANS_V3_1` t2
  ON t1.user_id = t2.user_id
    AND t2.month &lt; t1.month
  WHERE t2.date &gt;= '2024-08-01'
  GROUP BY 1,2,3</t>
  </si>
  <si>
    <t>with monthly_users AS (
  SELECT 
  *,
  LAG(total_users) OVER(ORDER BY month) as prev_total_users
  FROM(
  SELECT
    month,
    cate,
    merchant,
    COUNT(DISTINCT user_id) AS total_users
  FROM
  `momovn-prod.BU_ECOM.DLS_ALL_TRANS_V3_1`  
  WHERE date &gt;= '2023-12-01'
  and CATE = 'LOGISTICS'
  GROUP BY 1,2,3
  )
),
retained_users AS (
  SELECT
    t1.month AS current_month,
    t1.cate,
    t1.merchant,
    COUNT(DISTINCT t1.user_id) AS returning_users
  FROM
    `momovn-prod.BU_ECOM.DLS_ALL_TRANS_V3_1` t1
  JOIN
    `momovn-prod.BU_ECOM.DLS_ALL_TRANS_V3_1` t2
  ON t1.user_id = t2.user_id
    AND t2.month = DATE_SUB(t1.month, INTERVAL 1 month)
  WHERE t2.date &gt;= '2023-12-01'
  and t1.CATE = 'LOGISTICS' 
  GROUP BY 1,2,3
)
SELECT
  ru.current_month,
  ru.cate,
  ru.merchant,
  ru.returning_users,
  mu.prev_total_users,
  SAFE_DIVIDE(ru.returning_users, mu.prev_total_users) AS retention_rate
FROM retained_users ru
JOIN monthly_users mu
ON ru.current_month = mu.month and ru.cate = mu.cate and ru.merchant = mu.merchant
WHERE mu.prev_total_users is not null
ORDER BY 1</t>
  </si>
  <si>
    <t>WITH raw as (
SELECT
   USER_ID, 
   DATE, 
   MERCHANT
FROM `momovn-prod.BU_ECOM.DLS_ALL_TRANS_V3_1`
WHERE MERCHANT IN ('VIETLOTT SMS VIETTEL','VIETLOTT SMS MOBI','VIETLOTT SMS VINA')
)
SELECT
      DATE_TRUNC(DATE, MONTH) as month,
      COUNT(distinct USER_ID) as MAU
FROM RAW
GROUP BY 1
ORDER BY 1 DESC</t>
  </si>
  <si>
    <t xml:space="preserve">with monthly_users AS (
  SELECT
    month,
    CATE,
    USER_ID
  FROM
  `momovn-prod.BU_ECOM.DLS_ALL_TRANS_V3_1`  
  WHERE CATE IN ('LOGISTICS')
),
retained_users AS (
  SELECT
    t1.month AS current_month,
    t2.CATE,
    COUNT(DISTINCT t1.user_id) AS total_users,
    COUNT(DISTINCT t2.user_id) AS returning_user
  FROM
    monthly_users t1
  LEFT JOIN
    `momovn-prod.BU_ECOM.DLS_ALL_TRANS_V3_1` t2 
  ON t1.user_id = t2.user_id
    AND t2.month = DATE_ADD(t1.month, INTERVAL 1 month)
  WHERE t2.CATE IN ('LOGISTICS')
  GROUP BY 1,2
),
joined_table as(
  SELECT
  *,
  LAG(total_users) OVER(ORDER BY current_month) as previous_users
  FROM retained_users
)
SELECT 
  current_month, 
  CATE,
  SAFE_DIVIDE(returning_user,previous_users)
FROM joined_table
WHERE current_month &gt;= '2024-01-01'
</t>
  </si>
  <si>
    <t xml:space="preserve">with monthly_users AS (
  SELECT
    month,
    CATE,
    USER_ID
  FROM
  `momovn-prod.BU_ECOM.DLS_ALL_TRANS_V3_1`  
  WHERE CATE IN ('LOGISTICS')
),
retained_users AS (
  SELECT
    t1.month AS current_month,
    t2.CATE,
    COUNT(DISTINCT t1.user_id) AS total_users,
    COUNT(DISTINCT t2.user_id) AS returning_user
  FROM
    monthly_users t1
  LEFT JOIN
    `momovn-prod.BU_ECOM.DLS_ALL_TRANS_V3_1` t2 
  ON t1.user_id = t2.user_id
    AND t2.month = DATE_SUB(t1.month, INTERVAL 1 month)
  WHERE t2.CATE IN ('LOGISTICS')
  GROUP BY 1,2
),
joined_table as(
  SELECT
  *,
  LAG(total_users) OVER(ORDER BY current_month) as previous_users
  FROM retained_users
)
SELECT 
  current_month, 
  CATE,
  SAFE_DIVIDE(returning_user,previous_users)
FROM joined_table
WHERE current_month &gt;= '2024-01-01'
</t>
  </si>
  <si>
    <t xml:space="preserve">with monthly_users AS (
  SELECT
    month,
    CATE,
    USER_ID
  FROM
  `momovn-prod.BU_ECOM.DLS_ALL_TRANS_V3_1`  
  WHERE CATE IN ('LOGISTICS') and date &gt;= '2023-12-01'
),
retained_users AS (
  SELECT
    t1.month AS current_month,
    t2.CATE,
    COUNT(DISTINCT t1.user_id) AS total_users,
    COUNT(DISTINCT t2.user_id) AS returning_user
  FROM
    monthly_users t1
  LEFT JOIN
    `momovn-prod.BU_ECOM.DLS_ALL_TRANS_V3_1` t2 
  ON t1.user_id = t2.user_id
    AND t2.month = DATE_ADD(t1.month, INTERVAL 1 month)
  WHERE t2.CATE = t1.cate and t1.month &gt;= '2024-01-01' 
  GROUP BY 1,2
),
joined_table as(
  SELECT
  *,
  LAG(total_users) OVER(ORDER BY current_month) as previous_users
  FROM retained_users
)
SELECT 
  current_month, 
  SAFE_DIVIDE(returning_user,previous_users)
FROM joined_table
</t>
  </si>
  <si>
    <t xml:space="preserve">with monthly_users AS (
  SELECT 
  *,
  LAG(total_users) OVER(ORDER BY month) as prev_total_users
  FROM(
  SELECT
    month,
    cate,
    merchant,
    COUNT(DISTINCT user_id) AS total_users
  FROM
  `momovn-prod.BU_ECOM.DLS_ALL_TRANS_V3_1`  
  WHERE date &gt;= '2023-12-01'
  and CATE = 'LOGISTICS'
  GROUP BY 1,2,3
  )
),
retained_users AS (
  SELECT
    t1.month AS current_month,
    t1.cate,
    t1.merchant,
    COUNT(DISTINCT t1.user_id) AS returning_users
  FROM
    `momovn-prod.BU_ECOM.DLS_ALL_TRANS_V3_1` t1
  JOIN
    `momovn-prod.BU_ECOM.DLS_ALL_TRANS_V3_1` t2
  ON t1.user_id = t2.user_id
    AND t2.month = DATE_SUB(t1.month, INTERVAL 1 month)
  WHERE t2.date &gt;= '2023-12-01'
  and t1.CATE = 'LOGISTICS'
  GROUP BY 1,2,3
)
SELECT
  ru.current_month,
  ru.cate,
  ru.merchant,
  ru.returning_users,
  mu.total_users,
  SAFE_DIVIDE(ru.returning_users, mu.prev_total_users) AS retention_rate
FROM retained_users ru
JOIN
  monthly_users mu
ON
  ru.current_month = mu.month and ru.cate = mu.cate and ru.merchant = mu.merchant
ORDER BY 1
</t>
  </si>
  <si>
    <t xml:space="preserve">with monthly_users AS (
  SELECT 
  *,
  LAG(total_users) OVER(ORDER BY month) as prev_total_users
  FROM(
  SELECT
    month,
    cate,
    merchant,
    COUNT(DISTINCT user_id) AS total_users
  FROM
  `momovn-prod.BU_ECOM.DLS_ALL_TRANS_V3_1`  
  WHERE date &gt;= '2023-12-01'
  and CATE = 'LOGISTICS'
  GROUP BY 1,2,3
  )
),
retained_users AS (
  SELECT
    t1.month AS current_month,
    t1.cate,
    t1.merchant,
    COUNT(DISTINCT t1.user_id) AS returning_users
  FROM
    `momovn-prod.BU_ECOM.DLS_ALL_TRANS_V3_1` t1
  JOIN
    `momovn-prod.BU_ECOM.DLS_ALL_TRANS_V3_1` t2
  ON t1.user_id = t2.user_id
    AND t2.month = DATE_SUB(t1.month, INTERVAL 1 month)
  WHERE t2.date &gt;= '2023-12-01'
  and t1.CATE = 'LOGISTICS' 
  GROUP BY 1,2,3
)
SELECT
  ru.current_month,
  ru.cate,
  ru.merchant,
  ru.returning_users,
  mu.total_users,
  SAFE_DIVIDE(ru.returning_users, mu.prev_total_users) AS retention_rate
FROM retained_users ru
JOIN
  monthly_users mu
ON
  ru.current_month = mu.month and ru.cate = mu.cate and ru.merchant = mu.merchant
ORDER BY 1
</t>
  </si>
  <si>
    <t xml:space="preserve"> SELECT 
  *,
  LAG(total_users) OVER(ORDER BY month) as prev_total_users
  FROM(
  SELECT
    month,
    cate,
    merchant,
    COUNT(DISTINCT user_id) AS total_users
  FROM
  `momovn-prod.BU_ECOM.DLS_ALL_TRANS_V3_1`  
  WHERE date &gt;= '2023-12-01'
  and CATE = 'LOGISTICS'
  GROUP BY 1,2,3
  ORDER BY month
  )</t>
  </si>
  <si>
    <t xml:space="preserve"> SELECT 
  *,
  LAG(total_users) OVER(ORDER BY month) as prev_total_users
  FROM(
  SELECT
    month,
    cate,
    COUNT(DISTINCT user_id) AS total_users
  FROM
  `momovn-prod.BU_ECOM.DLS_ALL_TRANS_V3_1`  
  WHERE date &gt;= '2023-12-01'
  and CATE IN ('LOGISTICS','ADS PAYMENT')
  GROUP BY 1,2
  ORDER BY month
  )
</t>
  </si>
  <si>
    <t>with monthly_users AS (
  SELECT
    month,
    cate,
    merchant,
    COUNT(DISTINCT user_id) AS total_users
  FROM
  `momovn-prod.BU_ECOM.DLS_ALL_TRANS_V3_1`  
  WHERE date &gt;= '2024-01-01'
  GROUP BY 1,2,3
),
retained_users AS (
  SELECT
    t1.month AS current_month,
    t1.cate,
    t1.merchant,
    COUNT(DISTINCT t1.user_id) AS returning_users
  FROM
    `momovn-prod.BU_ECOM.DLS_ALL_TRANS_V3_1` t1
  JOIN
    `momovn-prod.BU_ECOM.DLS_ALL_TRANS_V3_1` t2
  ON t1.user_id = t2.user_id
    AND t2.month = DATE_SUB(t1.month, INTERVAL 1 month)
  WHERE t2.date &gt;= '2024-01-01'
  GROUP BY 1,2,3
)
SELECT
  ru.current_month,
  ru.cate,
  ru.merchant,
  ru.returning_users,
  mu.total_users,
  SAFE_DIVIDE(ru.returning_users, mu.total_users) AS retention_rate
FROM retained_users ru
JOIN
  monthly_users mu
ON
  ru.current_month = mu.month
ORDER BY 1</t>
  </si>
  <si>
    <t>with monthly_user as (
    SELECT
    month,
    CATE,
    USER_ID
  FROM
  `momovn-prod.BU_ECOM.DLS_ALL_TRANS_V3_1`  
  WHERE CATE IN ('LOGISTICS') and date &gt;= '2023-12-01'
),
retained_users as(
  SELECT 
    cur.month,
    cur.CATE,
    COUNT(DISTINCT pre.user_id) as returning_users,
    COUNT(DISTINCT cur.user_id) as total_users
  FROM monthly_user cur
  JOIN monthly_user pre ON cur.user_id = pre.user_id
                          and cur.cate = pre.cate
                          and pre.month = DATE_SUB(cur.month, INTERVAL 1 MONTH)
  GROUP BY 1,2
),
joined_table as(
  select
    month,
    cate,
    returning_users,
    LAG(total_users) over(order by month) as pre_total_users,
    total_users
  FROM retained_users 
  ORDER BY 1
)
SELECT 
*,
SAFE_DIVIDE(returning_users,pre_total_users)
FROM joined_table</t>
  </si>
  <si>
    <t xml:space="preserve">with monthly_users AS (
  SELECT
    month,
    CATE,
    USER_ID
  FROM
  `momovn-prod.BU_ECOM.DLS_ALL_TRANS_V3_1`  
  WHERE date &gt;= '2023-12-01'
  and CATE IN ('LOGISTICS')
),
retained_users AS (
  SELECT
    t1.month AS current_month,
    t2.CATE,
    COUNT(DISTINCT t1.user_id) AS total_users,
    COUNT(DISTINCT t2.user_id) AS returning_user
  FROM
    monthly_users t1
  LEFT JOIN
    `momovn-prod.BU_ECOM.DLS_ALL_TRANS_V3_1` t2 
  ON t1.user_id = t2.user_id
    AND t2.month = DATE_SUB(t1.month, INTERVAL 1 month)
  WHERE t2.date &gt;= '2023-12-01'
  and t2.CATE IN ('LOGISTICS')
  GROUP BY 1,2
),
join_table as(
  SELECT
  *,
  LAG(total_users) OVER(ORDER BY current_month) as previous_users
  FROM retained_users
)
SELECT 
  current_month, 
  CATE,
  SAFE_DIVIDE(returning_user,previous_users)
FROM join_table
</t>
  </si>
  <si>
    <t xml:space="preserve">with monthly_users AS (
  SELECT 
  *,
  LAG(total_users) OVER(ORDER BY month) as prev_total_users
  FROM(
  SELECT
    month,
    cate,
    COUNT(DISTINCT user_id) AS total_users
  FROM
  `momovn-prod.BU_ECOM.DLS_ALL_TRANS_V3_1`  
  WHERE date &gt;= '2023-12-01'
  and CATE IN ('LOGISTICS','ADS PAYMENT')
  GROUP BY 1,2
  )
),
retained_users AS (
  SELECT
    t1.month AS current_month,
    t1.cate,
    COUNT(DISTINCT t1.user_id) AS returning_users
  FROM
    `momovn-prod.BU_ECOM.DLS_ALL_TRANS_V3_1` t1
  JOIN
    `momovn-prod.BU_ECOM.DLS_ALL_TRANS_V3_1` t2
  ON t1.user_id = t2.user_id
    AND t2.month = DATE_SUB(t1.month, INTERVAL 1 month)
    AND t2.CATE = t1.CATE
  WHERE t2.date &gt;= '2023-12-01'
  and t1.CATE IN ('LOGISTICS','ADS PAYMENT')
  GROUP BY 1,2
)
SELECT
  ru.current_month,
  ru.cate,
  ru.returning_users,
  mu.prev_total_users,
  SAFE_DIVIDE(ru.returning_users, mu.prev_total_users) AS retention_rate
FROM retained_users ru
JOIN monthly_users mu
ON ru.current_month = mu.month and ru.cate = mu.cate 
WHERE mu.prev_total_users is not null
ORDER BY 1
</t>
  </si>
  <si>
    <t>with monthly_user as (
    SELECT
    month,
    CATE,
    USER_ID
  FROM
  `momovn-prod.BU_ECOM.DLS_ALL_TRANS_V3_1`  
  WHERE CATE IN ('LOGISTICS') and date &gt;= '2023-12-01'
),
retained_users as(
  SELECT 
    cur.month,
    cur.CATE,
    COUNT(DISTINCT pre.user_id) as returning_users,
    COUNT(DISTINCT cur.user_id) as total_users
  FROM monthly_user cur
  LEFT JOIN monthly_user pre ON cur.user_id = pre.user_id
                          and cur.cate = pre.cate
                          and pre.month = DATE_SUB(cur.month, INTERVAL 1 MONTH)
  GROUP BY 1,2
),
joined_table as(
  select
    month,
    cate,
    returning_users,
    LAG(total_users) over(order by month) as pre_total_users,
    total_users
  FROM retained_users 
  ORDER BY 1
)
SELECT 
*,
SAFE_DIVIDE(returning_users,pre_total_users)
FROM joined_table</t>
  </si>
  <si>
    <t xml:space="preserve">-- retention MOM Cate 
with base as (
  select distinct 
    month, 
    user_id,
    cate
  from  `momovn-prod.BU_ECOM.DLS_ALL_TRANS_V3_1`  
  where cate = 'LOGISTICS' and date &gt;= '2023-12-01'
),
monthly_users AS (
  SELECT
    month,
    cate,
    merchant,
    COUNT(DISTINCT user_id) AS total_users
  FROM
  `momovn-prod.BU_ECOM.DLS_ALL_TRANS_V3_1`  
  WHERE date &gt;= '2024-01-01' and cate = 'LOGISTICS' 
  GROUP BY 1,2,3
)
  SELECT
    t1.month as t1_month,
    t1.user_id,
    t1.cate as t1_cate,
    t2.month as t2_month,
    t2.cate as t2_cate,
    case when t2.month is not null then t2.user_id end as retain_cate 
  FROM base t1
  LEFT JOIN base t2
  ON t1.user_id = t2.user_id
    AND t2.month = DATE_ADD(t1.month, interval 1 month) 
    AND t1.cate = t2.cate 
  WHERE t1.month &gt;= '2024-01-01' and t1.user_id = 35552695
  order by t1.month
</t>
  </si>
  <si>
    <t xml:space="preserve">-- retention MOM Cate 
with base as (
  select distinct 
    month, 
    user_id,
    cate
  from  `momovn-prod.BU_ECOM.DLS_ALL_TRANS_V3_1`  
  where cate = 'LOGISTICS' and date &gt;= '2023-12-01'
),
monthly_users AS (
  SELECT
    month,
    cate,
    merchant,
    COUNT(DISTINCT user_id) AS total_users
  FROM
  `momovn-prod.BU_ECOM.DLS_ALL_TRANS_V3_1`  
  WHERE date &gt;= '2024-01-01' and cate = 'LOGISTICS' 
  GROUP BY 1,2,3
)
  SELECT
    t1.month as t1_month,
    t1.user_id,
    t1.cate as t1_cate,
    t2.month as t2_month,
    t2.cate as t2_cate,
    case when t2.month is not null then t2.user_id end as retain_cate 
  FROM base t1
  LEFT JOIN base t2
  ON t1.user_id = t2.user_id
    AND t2.month = DATE_ADD(t1.month, interval 1 month) 
    AND t1.cate = t2.cate 
  WHERE t2.month &gt;= '2024-01-01' and t1.user_id = 35552695
  order by t1.month
</t>
  </si>
  <si>
    <t xml:space="preserve">-- retention MOM Cate 
with base as (
  select distinct 
    month, 
    user_id,
    cate
  from  `momovn-prod.BU_ECOM.DLS_ALL_TRANS_V3_1`  
  where cate = 'LOGISTICS' and date &gt;= '2023-12-01'
),
monthly_users AS (
  SELECT
    month,
    cate,
    merchant,
    COUNT(DISTINCT user_id) AS total_users
  FROM
  `momovn-prod.BU_ECOM.DLS_ALL_TRANS_V3_1`  
  WHERE date &gt;= '2024-01-01' and cate = 'LOGISTICS' 
  GROUP BY 1,2,3
)
  SELECT
    t1.month as t1_month,
    t1.user_id,
    t1.cate as t1_cate,
    t2.month as t2_month,
    t2.cate as t2_cate,
    case when t2.month is not null then t2.user_id end as retain_cate 
  FROM base t1
  LEFT JOIN base t2
  ON t1.user_id = t2.user_id
    AND t2.month = DATE_ADD(t1.month, interval 1 month) 
    AND t1.cate = t2.cate 
  WHERE t2.month &gt;= '2024-01-01' and t1.user_id = 61771611
  order by t1.month
</t>
  </si>
  <si>
    <t>with monthly_user as (
    SELECT
    month,
    CATE,
    USER_ID
  FROM
  `momovn-prod.BU_ECOM.DLS_ALL_TRANS_V3_1`  
  WHERE CATE IN ('LOGISTICS') and date &gt;= '2023-12-01'
),
retained_users as(
  SELECT 
    cur.month,
    cur.CATE,
    COUNT(DISTINCT pre.user_id) as returning_users,
    COUNT(DISTINCT cur.user_id) as total_users
  FROM monthly_user cur
  LEFT JOIN monthly_user pre ON cur.user_id = pre.user_id
                          and cur.cate = pre.cate
                          and pre.month = DATE_SUB(cur.month, INTERVAL 1 MONTH)
  GROUP BY 1,2
),
joined_table as(
  select
    month,
    cate,
    returning_users,
    LAG(total_users) over(order by month) as pre_total_users,
    total_users
  FROM retained_users 
  ORDER BY 1
)
SELECT 
*,
SAFE_DIVIDE(returning_users,pre_total_users)
FROM joined_table
ORDER BY 1</t>
  </si>
  <si>
    <t xml:space="preserve"> SELECT 
  *,
  LAG(total_users) OVER(ORDER BY month) as prev_total_users
  FROM(
  SELECT
    month,
    cate,
    merchant,
    COUNT(DISTINCT user_id) AS total_users
  FROM
  `momovn-prod.BU_ECOM.DLS_ALL_TRANS_V3_1`  
  WHERE date &gt;= '2023-12-01'
  and CATE = 'LOGISTICS' and MERCHANT = 'GRAB-ENDUSER'
  GROUP BY 1,2,3
  ORDER BY month
  )
</t>
  </si>
  <si>
    <t>WITH raw as (
SELECT
   USER_ID, 
   DATE, 
   MERCHANT
FROM `momovn-prod.BU_ECOM.DLS_ALL_TRANS_V3_1`
WHERE MERCHANT IN ('VIETLOTT SMS VIETTEL','VIETLOTT SMS MOBI','VIETLOTT SMS VINA')
)
SELECT
      DATE_TRUNC(DATE, MONTH) as month,
      COUNT(distinct USER_ID) as MAU,
      COUNT(USER_ID) as transaction
FROM RAW
GROUP BY 1
ORDER BY 1 DESC</t>
  </si>
  <si>
    <t xml:space="preserve">with monthly_users AS (
  SELECT 
  *,
  LAG(total_users) OVER(ORDER BY month) as prev_total_users
  FROM(
  SELECT
    month,
    cate,
    merchant,
    COUNT(DISTINCT user_id) AS total_users
  FROM
  `momovn-prod.BU_ECOM.DLS_ALL_TRANS_V3_1`  
  WHERE date &gt;= '2023-12-01'
  and CATE = 'LOGISTICS'
  GROUP BY 1,2,3
  )
),
retained_users AS (
  SELECT
    t1.month AS current_month,
    t1.cate,
    t1.merchant,
    COUNT(DISTINCT t1.user_id) AS returning_users
  FROM
    `momovn-prod.BU_ECOM.DLS_ALL_TRANS_V3_1` t1
  JOIN
    `momovn-prod.BU_ECOM.DLS_ALL_TRANS_V3_1` t2
  ON t1.user_id = t2.user_id
    AND t2.month = DATE_SUB(t1.month, INTERVAL 1 month)
  WHERE t2.date &gt;= '2023-12-01'
  and t1.CATE = 'LOGISTICS' 
  GROUP BY 1,2,3
)
SELECT
  ru.current_month,
  ru.cate,
  ru.merchant,
  ru.returning_users,
  mu.total_users,
  SAFE_DIVIDE(ru.returning_users, mu.prev_total_users) AS retention_rate
FROM retained_users ru
JOIN monthly_users mu
ON ru.current_month = mu.month and ru.cate = mu.cate and ru.merchant = mu.merchant
WHERE mu.prev_total_users is not null
ORDER BY 1
</t>
  </si>
  <si>
    <t xml:space="preserve"> SELECT 
  *,
  LAG(total_users) OVER(ORDER BY month) as prev_total_users
  FROM(
  SELECT
    month,
    cate,
    merchant,
    COUNT(DISTINCT user_id) AS total_users
  FROM
  `momovn-prod.BU_ECOM.DLS_ALL_TRANS_V3_1`  
  WHERE date &gt;= '2023-12-01'
  and CATE = 'LOGISTICS' and MERCHANT = 'MAILINH-MINIAPP'
  GROUP BY 1,2,3
  ORDER BY month
  )</t>
  </si>
  <si>
    <t xml:space="preserve"> SELECT 
  *,
  LAG(total_users) OVER(ORDER BY month) as prev_total_users
  FROM(
  SELECT
    month,
    cate,
    merchant,
    COUNT(DISTINCT user_id) AS total_users
  FROM
  `momovn-prod.BU_ECOM.DLS_ALL_TRANS_V3_1`  
  WHERE date &gt;= '2024-12-01'
  and CATE = 'LOGISTICS' and MERCHANT = 'MAILINH-MINIAPP'
  GROUP BY 1,2,3
  ORDER BY month
  )</t>
  </si>
  <si>
    <t xml:space="preserve">with monthly_users AS (
  SELECT
    month,
    CATE,
    USER_ID
  FROM
  `momovn-prod.BU_ECOM.DLS_ALL_TRANS_V3_1`  
  WHERE date &gt;= '2023-12-01'
  and CATE IN ('LOGISTICS','ADS PAYMENT','APPLICATION STORE','MARKETPLACE','GAME','OTT','DIGITAL', 'CONTENT')
),
retained_users AS (
  SELECT
    t1.month AS current_month,
    t2.CATE,
    COUNT(DISTINCT t1.user_id) AS total_users,
    COUNT(DISTINCT t2.user_id) AS returning_user
  FROM
    monthly_users t1
  LEFT JOIN
    `momovn-prod.BU_ECOM.DLS_ALL_TRANS_V3_1` t2 
  ON t1.user_id = t2.user_id
    AND t2.month = DATE_SUB(t1.month, INTERVAL 1 month)
  WHERE t2.date &gt;= '2023-12-01'
  GROUP BY 1,2
),
join_table as(
  SELECT
  *,
  LAG(total_users) OVER(ORDER BY current_month) as previous_users
  FROM retained_users
)
SELECT 
  SAFE_DIVIDE(returning_user,previous_users)
FROM join_table
</t>
  </si>
  <si>
    <t xml:space="preserve">with monthly_users AS (
  SELECT 
  *,
  LAG(total_users) OVER(ORDER BY month) as prev_total_users
  FROM(
  SELECT
    month,
    cate,
    merchant,
    COUNT(DISTINCT user_id) AS total_users
  FROM
  `momovn-prod.BU_ECOM.DLS_ALL_TRANS_V3_1`  
  WHERE date &gt;= '2023-12-01'
  and CATE = 'LOGISTICS'
  GROUP BY 1,2,3
  )
),
retained_users AS (
  SELECT
    t1.month AS current_month,
    t1.cate,
    t1.merchant,
    COUNT(DISTINCT t1.user_id) AS returning_users
  FROM
    `momovn-prod.BU_ECOM.DLS_ALL_TRANS_V3_1` t1
  JOIN
    `momovn-prod.BU_ECOM.DLS_ALL_TRANS_V3_1` t2
  ON t1.user_id = t2.user_id
    AND t2.month = DATE_SUB(t1.month, INTERVAL 1 month)
  WHERE t2.date &gt;= '2023-12-01'
  and t1.CATE = 'LOGISTICS' 
  GROUP BY 1,2,3
)
SELECT
  ru.current_month,
  ru.cate,
  ru.merchant,
  ru.returning_users,
  mu.prev_total_users,
  SAFE_DIVIDE(ru.returning_users, mu.prev_total_users) AS retention_rate
FROM retained_users ru
JOIN monthly_users mu
ON ru.current_month = mu.month and ru.cate = mu.cate and ru.merchant = mu.merchant
WHERE mu.prev_total_users is not null
ORDER BY 1
</t>
  </si>
  <si>
    <t>-- retention MOM Cate / merchant
with base as (
  select distinct 
    month, 
    user_id,
    cate
  from  `momovn-prod.BU_ECOM.DLS_ALL_TRANS_V3_1`  
  where cate = 'LOGISTICS' and date &gt;= '2023-12-01'
),
monthly_users AS (
  SELECT
    month,
    cate,
    merchant,
    COUNT(DISTINCT user_id) AS total_users
  FROM
  `momovn-prod.BU_ECOM.DLS_ALL_TRANS_V3_1`  
  WHERE date &gt;= '2024-01-01' and cate = 'LOGISTICS' 
  GROUP BY 1,2,3
),
final as (
  SELECT
    t1.month as t1_month,
    t1.user_id,
    t1.cate as t1_cate,
    t2.month as t2_month,
    t2.cate as t2_cate,
    case when t2.month is not null then t2.user_id end as retain_cate 
  FROM base t1
  LEFT JOIN base t2
  ON t1.user_id = t2.user_id
    AND t2.month = DATE_ADD(t1.month, interval 1 month) 
    AND t1.cate = t2.cate 
  WHERE t1.month &gt;= '2024-01-01' --and t1.user_id = 35552695
  order by t1.month
)
select 
t1_month, 
count (distinct retain_cate) as retain_user, 
count (distinct user_id) as total_user,
count (distinct retain_cate)/ count (distinct user_id) as retain_rate
from final
group by 1</t>
  </si>
  <si>
    <t>-- retention MOM Cate / merchant
with base as (
  select distinct 
    month, 
    user_id,
    cate
  from  `momovn-prod.BU_ECOM.DLS_ALL_TRANS_V3_1`  
  where cate = 'LOGISTICS' and date &gt;= '2023-12-01'
),
monthly_users AS (
  SELECT
    month,
    cate,
    merchant,
    COUNT(DISTINCT user_id) AS total_users
  FROM
  `momovn-prod.BU_ECOM.DLS_ALL_TRANS_V3_1`  
  WHERE date &gt;= '2024-01-01' and cate = 'LOGISTICS' 
  GROUP BY 1,2,3
),
final as (
  SELECT
    t1.month as t1_month,
    t1.user_id,
    t1.cate as t1_cate,
    t2.month as t2_month,
    t2.cate as t2_cate,
    case when t2.month is not null then t2.user_id end as retain_cate 
  FROM base t1
  LEFT JOIN base t2
  ON t1.user_id = t2.user_id
    AND t2.month = DATE_ADD(t1.month, interval 1 month) 
    AND t1.cate = t2.cate 
  WHERE t1.month &gt;= '2024-01-01' --and t1.user_id = 35552695
  order by t1.month
)
select 
t2_month, 
count (distinct retain_cate) as retain_user, 
count (distinct user_id) as total_user,
count (distinct retain_cate)/ count (distinct user_id) as retain_rate
from final
group by 1</t>
  </si>
  <si>
    <t>-- retention MOM Cate / merchant
with base as (
  select distinct 
    month, 
    user_id,
    cate
  from  `momovn-prod.BU_ECOM.DLS_ALL_TRANS_V3_1`  
  where cate = 'LOGISTICS' and date &gt;= '2023-12-01'
),
monthly_users AS (
  SELECT
    month,
    cate,
    merchant,
    COUNT(DISTINCT user_id) AS total_users
  FROM
  `momovn-prod.BU_ECOM.DLS_ALL_TRANS_V3_1`  
  WHERE date &gt;= '2024-01-01' and cate = 'LOGISTICS' 
  GROUP BY 1,2,3
),
final as (
  SELECT
    t1.month as t1_month,
    t1.user_id,
    t1.cate as t1_cate,
    t2.month as t2_month,
    t2.cate as t2_cate,
    case when t2.month is not null then t2.user_id end as retain_cate 
  FROM base t1
  LEFT JOIN base t2
  ON t1.user_id = t2.user_id
    AND t2.month = DATE_ADD(t1.month, interval 1 month) 
    AND t1.cate = t2.cate 
  WHERE t1.month &gt;= '2024-01-01' --and t1.user_id = 35552695
  order by t1.month
)
select 
t1_month, 
count (distinct retain_cate) as retain_user, 
count (distinct user_id) as total_user,
count (distinct retain_cate)/ count (distinct user_id) as retain_rate
from final
group by 1,2</t>
  </si>
  <si>
    <t>select count (distinct user_id)
from   `momovn-prod.BU_ECOM.DLS_ALL_TRANS_V3_1`  
where cate = 'APPLICATION STORE'</t>
  </si>
  <si>
    <t>select distinct user_id
from  `momovn-prod.BU_ECOM.DLS_ALL_TRANS_V3_1` 
where cate = 'LOGISTICS' and month = '2024-09-01'</t>
  </si>
  <si>
    <t xml:space="preserve">with monthly_users AS (
  SELECT
    month,
    cate,
    merchant,
    COUNT(DISTINCT user_id) AS total_users
  FROM
  `momovn-prod.BU_ECOM.DLS_ALL_TRANS_V3_1`  
  WHERE date &gt;= '2024-01-01'
  GROUP BY 1,2,3
),
retained_users AS (
  SELECT
    t1.month AS current_month,
    t1.cate,
    t1.merchant,
    COUNT(DISTINCT t1.user_id) AS returning_users
  FROM
    `momovn-prod.BU_ECOM.DLS_ALL_TRANS_V3_1` t1
  JOIN
    `momovn-prod.BU_ECOM.DLS_ALL_TRANS_V3_1` t2
  ON t1.user_id = t2.user_id
    AND t2.month = DATE_SUB(t1.month, INTERVAL 1 month)
  WHERE t2.date &gt;= '2024-01-01'
  GROUP BY 1,2,3
)
SELECT
  ru.current_month,
  ru.cate,
  ru.merchant,
  ru.returning_users,
  mu.total_users,
  SAFE_DIVIDE(ru.returning_users, mu.total_users) AS retention_rate
FROM retained_users ru
JOIN
  monthly_users mu
ON
  ru.current_month = mu.month
ORDER BY 1
</t>
  </si>
  <si>
    <t xml:space="preserve">select distinct user_id
from  `momovn-prod.BU_ECOM.DLS_ALL_TRANS_V3_1` 
where cate = 'LOGISTICS' and month = '2024-09-01'
</t>
  </si>
  <si>
    <t>-- retention MOM Cate / merchant
with base as (
  select distinct 
    month, 
    user_id,
    cate
  from  `momovn-prod.BU_ECOM.DLS_ALL_TRANS_V3_1`  
  where cate = 'LOGISTICS' and date &gt;= '2023-12-01'
),
monthly_users AS (
  SELECT
    month,
    cate,
    merchant,
    COUNT(DISTINCT user_id) AS total_users
  FROM
  `momovn-prod.BU_ECOM.DLS_ALL_TRANS_V3_1`  
  WHERE date &gt;= '2024-01-01' and cate = 'LOGISTICS' 
  GROUP BY 1,2,3
),
final as (
  SELECT
    t1.month as t1_month,
    t1.user_id,
    t1.cate as t1_cate,
    t2.month as t2_month,
    t2.cate as t2_cate,
    case when t2.month is not null then t2.user_id end as retain_cate 
  FROM base t1
  LEFT JOIN base t2
  ON t1.user_id = t2.user_id
    AND t2.month = DATE_ADD(t1.month, interval 1 month) 
    AND t1.cate = t2.cate 
  WHERE t1.month &gt;= '2024-01-01' --and t1.user_id = 35552695
  order by t1.month
)
select 
t1_month, 
t2_month,
count (distinct retain_cate) as retain_user, 
count (distinct user_id) as total_user,
count (distinct retain_cate)/ count (distinct user_id) as retain_rate
from final
group by 1,2</t>
  </si>
  <si>
    <t xml:space="preserve">select *
from  `momovn-prod.BU_ECOM.DLS_ALL_TRANS_V3_1` 
where cate = 'LOGISTICS' and month = '2024-09-01' and user_id = 35552695
</t>
  </si>
  <si>
    <t xml:space="preserve"> SELECT 
  *,
  LAG(total_users) OVER(ORDER BY month) as prev_total_users
  FROM(
  SELECT
    month,
    cate,
    merchant,
    COUNT(DISTINCT user_id) AS total_users
  FROM
  `momovn-prod.BU_ECOM.DLS_ALL_TRANS_V3_1`  
  WHERE date &gt;= '2023-12-01'
  and CATE = 'LOGISTICS' and MERCHANT = 'MAILINH-MINIAPP'
  GROUP BY 1,2,3
  ORDER BY month
  )
   where month &gt;= '2024-01-01'</t>
  </si>
  <si>
    <t>SELECT distinct 
    t1.month AS current_month,
    t1.cate,
    t1.merchant,
    t2.month as t2_month
  FROM
    `momovn-prod.BU_ECOM.DLS_ALL_TRANS_V3_1` t1
  JOIN
    `momovn-prod.BU_ECOM.DLS_ALL_TRANS_V3_1` t2
  ON t1.user_id = t2.user_id
    AND t2.month = DATE_ADD(t1.month, INTERVAL 1 month)
    AND t1.cate = t2.cate
  WHERE t2.date &gt;= '2024-01-01' and t1.user_id = 38633175 
order by 1</t>
  </si>
  <si>
    <t>SELECT distinct 
    t1.month AS current_month,
    t1.cate,
    t1.merchant,
    t2.month as t2_month
  FROM
    `momovn-prod.BU_ECOM.DLS_ALL_TRANS_V3_1` t1
  JOIN
    `momovn-prod.BU_ECOM.DLS_ALL_TRANS_V3_1` t2
  ON t1.user_id = t2.user_id
    AND t2.month = DATE_SUB(t1.month, INTERVAL 1 month)
    AND t1.cate = t2.cate
  WHERE t2.date &gt;= '2024-01-01' and t1.user_id = 38633175 
order by 1</t>
  </si>
  <si>
    <t xml:space="preserve"> SELECT 
  *,
  LAG(total_users) OVER(ORDER BY month) as prev_total_users
  FROM(
  SELECT
    month,
    cate,
    COUNT(DISTINCT user_id) AS total_users
  FROM
  `momovn-prod.BU_ECOM.DLS_ALL_TRANS_V3_1`  
  WHERE date &gt;= '2023-12-01'
  and CATE IN ('LOGISTICS','ADS PAYMENT','APPLICATION STORE','MARKETPLACE','GAME','OTT','DIGITAL', 'CONTENT')
  GROUP BY 1,2
  ORDER BY month
  )
</t>
  </si>
  <si>
    <t xml:space="preserve">  SELECT
    t1.month AS current_month,
    t1.cate,
    t1.merchant,
    COUNT(DISTINCT t1.user_id) AS returning_users
  FROM
    `momovn-prod.BU_ECOM.DLS_ALL_TRANS_V3_1` t1
  JOIN
    `momovn-prod.BU_ECOM.DLS_ALL_TRANS_V3_1` t2
  ON t1.user_id = t2.user_id
    AND t2.month = DATE_SUB(t1.month, INTERVAL 1 month)
  WHERE t2.date &gt;= '2023-12-01'
  and t1.CATE = 'LOGISTICS' 
  GROUP BY 1,2,3</t>
  </si>
  <si>
    <t>SELECT distinct 
    t1.month AS current_month,
    t1.cate,
    t1.merchant,
    t2.month as t2_month
  FROM
    `momovn-prod.BU_ECOM.DLS_ALL_TRANS_V3_1` t1
  JOIN
    `momovn-prod.BU_ECOM.DLS_ALL_TRANS_V3_1` t2
  ON t1.user_id = t2.user_id
    AND t2.month = DATE_SUB(t1.month, INTERVAL 1 month)
    AND t1.cate = t2.cate
  WHERE t2.date &gt;= '2024-01-01' and t1.user_id = 38633175 
  GROUP BY 1,2,3
order by 1</t>
  </si>
  <si>
    <t xml:space="preserve">  SELECT
    month,
    CATE,
    USER_ID
  FROM
  `momovn-prod.BU_ECOM.DLS_ALL_TRANS_V3_1`  
  WHERE date &gt;= '2023-12-01'
  and CATE IN ('LOGISTICS')</t>
  </si>
  <si>
    <t xml:space="preserve">select *
from  `momovn-prod.BU_ECOM.DLS_ALL_TRANS_V3_1` 
where month = '2024-09-01' and cate in ('ADS PAYMENT', 'MARKETPLACE') and user_id = 10520923
order by datetime
</t>
  </si>
  <si>
    <t xml:space="preserve">  SELECT
    month,
    CATE,
    COUNT(DISTINCT USER_ID)
  FROM
  `momovn-prod.BU_ECOM.DLS_ALL_TRANS_V3_1`  
  WHERE date &gt;= '2023-12-01'
  and CATE IN ('LOGISTICS')</t>
  </si>
  <si>
    <t xml:space="preserve">
  SELECT
    t1.month AS current_month,
    t1.cate,
    t1.merchant,
    COUNT(DISTINCT t1.user_id) AS returning_users
  FROM
    `momovn-prod.BU_ECOM.DLS_ALL_TRANS_V3_1` t1
  JOIN
    `momovn-prod.BU_ECOM.DLS_ALL_TRANS_V3_1` t2
  ON t1.user_id = t2.user_id
    AND t2.month = DATE_SUB(t1.month, INTERVAL 1 month)
    AND t1.cate = t2.cate
  WHERE t2.date &gt;= '2024-01-01' and t1.user_id = 38633175 
  GROUP BY 1,2,3
order by 1</t>
  </si>
  <si>
    <t xml:space="preserve">
  SELECT
    t1.month AS current_month,
    t1.cate,
    t1.merchant,
    COUNT(DISTINCT t1.user_id) AS returning_users
  FROM
    `momovn-prod.BU_ECOM.DLS_ALL_TRANS_V3_1` t1
  JOIN
    `momovn-prod.BU_ECOM.DLS_ALL_TRANS_V3_1` t2
  ON t1.user_id = t2.user_id
    AND t2.month = DATE_SUB(t1.month, INTERVAL 1 month)
  WHERE t2.date &gt;= '2024-01-01' and t1.user_id = 38633175 and t1.cate = 'LOGISTICCS'
  GROUP BY 1,2,3
order by 1</t>
  </si>
  <si>
    <t>with monthly_users AS (
  SELECT
    month,
    cate,
    merchant,
    COUNT(DISTINCT user_id) AS total_users
  FROM
  `momovn-prod.BU_ECOM.DLS_ALL_TRANS_V3_1`  
  WHERE date &gt;= '2024-01-01' and user_id = 38633175 and cate = 'LOGISTICCS'
  GROUP BY 1,2,3
)
  SELECT
    t1.month AS current_month,
    t1.cate,
    t1.merchant,
    COUNT(DISTINCT t1.user_id) AS returning_users
  FROM
    `momovn-prod.BU_ECOM.DLS_ALL_TRANS_V3_1` t1
  JOIN
    `momovn-prod.BU_ECOM.DLS_ALL_TRANS_V3_1` t2
  ON t1.user_id = t2.user_id
    AND t2.month = DATE_SUB(t1.month, INTERVAL 1 month)
  WHERE t2.date &gt;= '2024-01-01' and t1.user_id = 38633175 and t1.cate = 'LOGISTICCS'
  GROUP BY 1,2,3
order by 1</t>
  </si>
  <si>
    <t xml:space="preserve">with monthly_users AS (
  SELECT
    month,
    cate,
    merchant,
    COUNT(DISTINCT user_id) AS total_users
  FROM
  `momovn-prod.BU_ECOM.DLS_ALL_TRANS_V3_1`  
  WHERE date &gt;= '2024-01-01'
  and CATE = 'LOGISTICS'
  GROUP BY 1,2,3
),
retained_users AS (
  SELECT
    t1.month AS current_month,
    t1.cate,
    t1.merchant,
    COUNT(DISTINCT t1.user_id) AS returning_users
  FROM
    `momovn-prod.BU_ECOM.DLS_ALL_TRANS_V3_1` t1
  JOIN
    `momovn-prod.BU_ECOM.DLS_ALL_TRANS_V3_1` t2
  ON t1.user_id = t2.user_id
    AND t2.month = DATE_SUB(t1.month, INTERVAL 1 month)
  WHERE t2.date &gt;= '2024-01-01'
  and t1.CATE = 'LOGISTICS'
  GROUP BY 1,2,3
)
SELECT
  ru.current_month,
  ru.cate,
  ru.merchant,
  ru.returning_users,
  mu.total_users,
  SAFE_DIVIDE(ru.returning_users, mu.total_users) AS retention_rate
FROM retained_users ru
JOIN
  monthly_users mu
ON
  ru.current_month = mu.month
ORDER BY 1
</t>
  </si>
  <si>
    <t xml:space="preserve">  SELECT
    t1.month AS current_month,
    t1.cate,
    t1.merchant,
    COUNT(DISTINCT t1.user_id) AS returning_users
  FROM
    `momovn-prod.BU_ECOM.DLS_ALL_TRANS_V3_1` t1
  JOIN
    `momovn-prod.BU_ECOM.DLS_ALL_TRANS_V3_1` t2
  ON t1.user_id = t2.user_id
    AND t2.month = DATE_SUB(t1.month, INTERVAL 1 month)
  WHERE t2.date &gt;= '2023-12-01'
  and t1.CATE = 'LOGISTICS' and t1.MERCHANT = 'GRAB-ENDUSER'
  GROUP BY 1,2,3</t>
  </si>
  <si>
    <t xml:space="preserve">  SELECT
    month,
    CATE,
    COUNT(DISTINCT USER_ID)
  FROM
  `momovn-prod.BU_ECOM.DLS_ALL_TRANS_V3_1`  
  WHERE date &gt;= '2023-12-01'
  and CATE IN ('LOGISTICS')
  GROUP BY 1,2</t>
  </si>
  <si>
    <t xml:space="preserve">  SELECT
    month,
    cate,
    merchant,
    COUNT(DISTINCT user_id) AS total_users
  FROM
  `momovn-prod.BU_ECOM.DLS_ALL_TRANS_V3_1`  
  WHERE date &gt;= '2024-01-01'
  GROUP BY 1,2,3</t>
  </si>
  <si>
    <t xml:space="preserve">with monthly_users AS (
  SELECT
    month,
    cate,
    USER_ID
  FROM
  `momovn-prod.BU_ECOM.DLS_ALL_TRANS_V3_1`  
  WHERE date &gt;= '2023-12-01'
  and CATE IN ('LOGISTICS','ADS PAYMENT','APPLICATION STORE','MARKETPLACE','GAME','OTT','DIGITAL', 'CONTENT')
),
retained_users AS (
  SELECT
    t1.month AS current_month,
    t2.cate,
    COUNT(DISTINCT t2.user_id) AS returning_users,
    COUNT(DISTINCT t1.user_id) AS total_users,
  FROM monthly_users t1
  LEFT JOIN `momovn-prod.BU_ECOM.DLS_ALL_TRANS_V3_1` t2
  ON t1.user_id = t2.user_id
    AND t2.month = DATE_SUB(t1.month, INTERVAL 1 month)
  WHERE t2.date &gt;= '2023-12-01'
  GROUP By 1,2
),
join_table as (
SELECT
  current_month,
  returning_users,
  cate,
  lag(total_users) over(order by current_month) as prev_total_users,
  total_users
FROM retained_users
ORDER BY 1
)
select 
*,
SAFE_DIVIDE(returning_users, prev_total_users) as retention_rate
from join_table 
</t>
  </si>
  <si>
    <t xml:space="preserve">with monthly_users AS (
  SELECT 
  *,
  LAG(total_users) OVER(ORDER BY month) as prev_total_users
  FROM(
  SELECT
    month,
    cate,
    COUNT(DISTINCT user_id) AS total_users
  FROM
  `momovn-prod.BU_ECOM.DLS_ALL_TRANS_V3_1`  
  WHERE date &gt;= '2023-12-01'
  and CATE IN ('LOGISTICS','ADS PAYMENT','APPLICATION STORE','MARKETPLACE','GAME','OTT','DIGITAL', 'CONTENT')
  GROUP BY 1,2
  )
),
retained_users AS (
  SELECT
    t1.month AS current_month,
    t1.cate,
    COUNT(DISTINCT t1.user_id) AS returning_users
  FROM
    `momovn-prod.BU_ECOM.DLS_ALL_TRANS_V3_1` t1
  JOIN
    `momovn-prod.BU_ECOM.DLS_ALL_TRANS_V3_1` t2
  ON t1.user_id = t2.user_id
    AND t2.month = DATE_SUB(t1.month, INTERVAL 1 month)
  WHERE t2.date &gt;= '2023-12-01'
  and t1.CATE IN ('LOGISTICS','ADS PAYMENT','APPLICATION STORE','MARKETPLACE','GAME','OTT','DIGITAL', 'CONTENT')
  GROUP BY 1,2
)
SELECT
  ru.current_month,
  ru.cate,
  ru.returning_users,
  mu.prev_total_users,
  SAFE_DIVIDE(ru.returning_users, mu.prev_total_users) AS retention_rate
FROM retained_users ru
JOIN monthly_users mu
ON ru.current_month = mu.month and ru.cate = mu.cate 
WHERE mu.prev_total_users is not null
ORDER BY 1
</t>
  </si>
  <si>
    <t xml:space="preserve">with monthly_users AS (
  SELECT 
  *,
  LAG(total_users) OVER(ORDER BY month) as prev_total_users
  FROM(
  SELECT
    month,
    cate,
    merchant,
    COUNT(DISTINCT user_id) AS total_users
  FROM
  `momovn-prod.BU_ECOM.DLS_ALL_TRANS_V3_1`  
  WHERE date &gt;= '2023-12-01'
  and CATE = 'LOGISTICS' and merchant = 'GRAB-ENDUSER'
  GROUP BY 1,2,3
  )
),
retained_users AS (
  SELECT
    t1.month AS current_month,
    t1.cate,
    t1.merchant,
    COUNT(DISTINCT t1.user_id) AS returning_users
  FROM
    `momovn-prod.BU_ECOM.DLS_ALL_TRANS_V3_1` t1
  JOIN
    `momovn-prod.BU_ECOM.DLS_ALL_TRANS_V3_1` t2
  ON t1.user_id = t2.user_id
    AND t2.month = DATE_SUB(t1.month, INTERVAL 1 month)
    AND t2.CATE = t1.CATE
  WHERE t2.date &gt;= '2023-12-01'
  and t1.CATE = 'LOGISTICS' and t1.merchant = 'GRAB-ENDUSER'
  GROUP BY 1,2,3
)
SELECT
  ru.current_month,
  ru.cate,
  ru.merchant,
  ru.returning_users,
  mu.prev_total_users,
  SAFE_DIVIDE(ru.returning_users, mu.prev_total_users) AS retention_rate
FROM retained_users ru
JOIN monthly_users mu
ON ru.current_month = mu.month and ru.cate = mu.cate and ru.merchant = mu.merchant
WHERE mu.prev_total_users is not null
ORDER BY 1
</t>
  </si>
  <si>
    <t xml:space="preserve">select distinct user_id, count (distinct cate) as time
from  `momovn-prod.BU_ECOM.DLS_ALL_TRANS_V3_1` 
where month = '2024-09-01' and cate in ('ADS PAYMENT', 'MARKETPLACE')
group by 1
having time = 2 
</t>
  </si>
  <si>
    <t>with monthly_users AS (
  SELECT
    month,
    CATE,
    USER_ID
  FROM
  `momovn-prod.BU_ECOM.DLS_ALL_TRANS_V3_1`  
  WHERE CATE IN ('LOGISTICS') and date &gt;= '2023-12-01'
),
retained_users AS (
  SELECT
    t1.month AS current_month,
    t2.CATE,
    COUNT(DISTINCT t1.user_id) AS total_users,
    COUNT(DISTINCT t2.user_id) AS returning_user
  FROM
    monthly_users t1
  LEFT JOIN
    `momovn-prod.BU_ECOM.DLS_ALL_TRANS_V3_1` t2 
  ON t1.user_id = t2.user_id
    AND t2.month = DATE_ADD(t1.month, INTERVAL 1 month)
  WHERE t2.CATE = t1.cate and t1.month &gt;= '2024-01-01' 
  GROUP BY 1,2
)
  SELECT
  *,
  LAG(total_users) OVER(ORDER BY current_month) as previous_users
  FROM retained_users</t>
  </si>
  <si>
    <t>with monthly_users AS (
  SELECT
    month,
    CATE,
    USER_ID
  FROM
  `momovn-prod.BU_ECOM.DLS_ALL_TRANS_V3_1`  
  WHERE CATE IN ('LOGISTICS') and date &gt;= '2024-07-01'
),
retained_users AS (
  SELECT
    t1.month AS current_month,
    t2.CATE,
    COUNT(DISTINCT t1.user_id) AS total_users,
    COUNT(DISTINCT t2.user_id) AS returning_user
  FROM
    monthly_users t1
  LEFT JOIN
    `momovn-prod.BU_ECOM.DLS_ALL_TRANS_V3_1` t2 
  ON t1.user_id = t2.user_id
    AND t1.month = DATE_SUB(t2.month, INTERVAL 1 month)
  WHERE t2.CATE = t1.cate and t1.month &gt;= '2024-07-01' 
  GROUP BY 1,2
)
  SELECT
  *,
  LAG(total_users) OVER(ORDER BY current_month) as previous_users
  FROM retained_users</t>
  </si>
  <si>
    <t>with monthly_users AS (
  SELECT
    month,
    CATE,
    USER_ID
  FROM
  `momovn-prod.BU_ECOM.DLS_ALL_TRANS_V3_1`  
  WHERE CATE IN ('LOGISTICS') and date &gt;= '2024-07-01'
),
retained_users AS (
  SELECT
    t1.month AS current_month,
    t2.CATE,
    COUNT(DISTINCT t1.user_id) AS total_users,
    COUNT(DISTINCT t2.user_id) AS returning_user
  FROM
    monthly_users t1
  LEFT JOIN
    `momovn-prod.BU_ECOM.DLS_ALL_TRANS_V3_1` t2 
  ON t1.user_id = t2.user_id
    AND t2.month = DATE_ADD(t1.month, INTERVAL 1 month)
  WHERE t2.CATE = t1.cate and t1.month &gt;= '2024-07-01' 
  GROUP BY 1,2
)
  SELECT
  *,
  LAG(total_users) OVER(ORDER BY current_month) as previous_users
  FROM retained_users</t>
  </si>
  <si>
    <t>with monthly_users AS (
  SELECT
    month,
    CATE,
    USER_ID
  FROM
  `momovn-prod.BU_ECOM.DLS_ALL_TRANS_V3_1`  
  WHERE CATE IN ('LOGISTICS') and date &gt;= '2024-07-01'
),
retained_users AS (
  SELECT
    t2.month AS current_month,
    t2.CATE,
    COUNT(DISTINCT t1.user_id) AS total_users,
    COUNT(DISTINCT t2.user_id) AS returning_user
  FROM
    monthly_users t1
  LEFT JOIN
    `momovn-prod.BU_ECOM.DLS_ALL_TRANS_V3_1` t2 
  ON t1.user_id = t2.user_id
    AND t1.month = DATE_SUB(t2.month, INTERVAL 1 month)
  WHERE t2.CATE = t1.cate and t1.month &gt;= '2024-07-01' 
  GROUP BY 1,2
)
  SELECT
  *,
  LAG(total_users) OVER(ORDER BY current_month) as previous_users
  FROM retained_users</t>
  </si>
  <si>
    <t xml:space="preserve">with monthly_users AS (
  SELECT 
  *,
  LAG(total_users) OVER(ORDER BY month) as prev_total_users
  FROM(
  SELECT
    month,
    cate,
    merchant,
    COUNT(DISTINCT user_id) AS total_users
  FROM
  `momovn-prod.BU_ECOM.DLS_ALL_TRANS_V3_1`  
  WHERE date &gt;= '2023-12-01'
  and CATE = 'LOGISTICS'
  GROUP BY 1,2,3
  )
),
retained_users AS (
  SELECT
    t1.month AS current_month,
    t1.cate,
    t1.merchant,
    COUNT(DISTINCT t1.user_id) AS returning_users
  FROM
    `momovn-prod.BU_ECOM.DLS_ALL_TRANS_V3_1` t1
  JOIN
    `momovn-prod.BU_ECOM.DLS_ALL_TRANS_V3_1` t2
  ON t1.user_id = t2.user_id
    AND t2.month = DATE_SUB(t1.month, INTERVAL 1 month)
    AND t2.CATE = t1.CATE
  WHERE t2.date &gt;= '2023-12-01'
  and t1.CATE = 'LOGISTICS' 
  GROUP BY 1,2,3
)
SELECT
*
FROM retained_users ru
JOIN monthly_users mu
ON ru.current_month = mu.month and ru.cate = mu.cate and ru.merchant = mu.merchant
WHERE mu.prev_total_users is not null
</t>
  </si>
  <si>
    <t>SELECT
    month,
    cate,
    COUNT(DISTINCT user_id) AS total_users
  FROM
  `momovn-prod.BU_ECOM.DLS_ALL_TRANS_V3_1`  
  WHERE date &gt;= '2023-12-01'
  and CATE IN ('LOGISTICS','ADS PAYMENT')
  GROUP BY 1,2</t>
  </si>
  <si>
    <t xml:space="preserve">  SELECT
    month,
    cate,
    merchant,
    COUNT(DISTINCT user_id) AS total_users
  FROM
  `momovn-prod.BU_ECOM.DLS_ALL_TRANS_V3_1`  
  WHERE date &gt;= '2024-01-01'
  and CATE = 'LOGISTICS'
  GROUP BY 1,2,3</t>
  </si>
  <si>
    <t xml:space="preserve">select user_id, count (distinct cate) as time
from  `momovn-prod.BU_ECOM.DLS_ALL_TRANS_V3_1` 
where month = '2024-09-01' and cate in ('ADS PAYMENT', 'MARKETPLACE') and merchant = 'TIKTOK' 
group by 1
having time = 2 
</t>
  </si>
  <si>
    <t xml:space="preserve">  SELECT
    month,
    cate,
    merchant,
    COUNT(DISTINCT user_id) AS total_users
  FROM
  `momovn-prod.BU_ECOM.DLS_ALL_TRANS_V3_1`  
  WHERE date &gt;= '2024-01-01'
  and CATE = 'GRAB-ENDUSER'
  GROUP BY 1,2,3</t>
  </si>
  <si>
    <t xml:space="preserve">with monthly_users AS (
  SELECT 
  *,
  LAG(total_users) OVER(ORDER BY month) as prev_total_users
  FROM(
  SELECT
    month,
    cate,
    COUNT(DISTINCT user_id) AS total_users
  FROM
  `momovn-prod.BU_ECOM.DLS_ALL_TRANS_V3_1`  
  WHERE date &gt;= '2023-12-01'
  and CATE IN ('LOGISTICS','ADS PAYMENT','APPLICATION STORE','MARKETPLACE','GAME','OTT','DIGITAL', 'CONTENT')
  GROUP BY 1,2
  )
),
retained_users AS (
  SELECT
    t1.month AS current_month,
    t1.cate,
    COUNT(DISTINCT t1.user_id) AS returning_users
  FROM
    `momovn-prod.BU_ECOM.DLS_ALL_TRANS_V3_1` t1
  JOIN
    `momovn-prod.BU_ECOM.DLS_ALL_TRANS_V3_1` t2
  ON t1.user_id = t2.user_id
    AND t2.month = DATE_SUB(t1.month, INTERVAL 1 month)
    AND t2.CATE = t1.CATE
  WHERE t2.date &gt;= '2023-12-01'
  and t1.CATE IN ('LOGISTICS','ADS PAYMENT','APPLICATION STORE','MARKETPLACE','GAME','OTT','DIGITAL', 'CONTENT')
  GROUP BY 1,2
)
SELECT
  ru.current_month,
  ru.cate,
  ru.returning_users,
  mu.prev_total_users,
  SAFE_DIVIDE(ru.returning_users, mu.prev_total_users) AS retention_rate
FROM retained_users ru
JOIN monthly_users mu
ON ru.current_month = mu.month and ru.cate = mu.cate 
WHERE mu.prev_total_users is not null
ORDER BY 1
</t>
  </si>
  <si>
    <t xml:space="preserve">with monthly_users AS (
  SELECT
    month,
    cate,
    merchant,
    COUNT(DISTINCT user_id) AS total_users
  FROM
  `momovn-prod.BU_ECOM.DLS_ALL_TRANS_V3_1`  
  WHERE date &gt;= '2023-12-01'
  and CATE = 'LOGISTICS'
  GROUP BY 1,2,3
),
retained_users AS (
  SELECT
    t1.month AS current_month,
    t1.cate,
    t1.merchant,
    COUNT(DISTINCT t1.user_id) AS returning_users
  FROM
    `momovn-prod.BU_ECOM.DLS_ALL_TRANS_V3_1` t1
  JOIN
    `momovn-prod.BU_ECOM.DLS_ALL_TRANS_V3_1` t2
  ON t1.user_id = t2.user_id
    AND t2.month = DATE_SUB(t1.month, INTERVAL 1 month)
  WHERE t2.date &gt;= '2023-12-01'
  and t1.CATE = 'LOGISTICS'
  GROUP BY 1,2,3
)
SELECT
  ru.current_month,
  ru.cate,
  ru.merchant,
  ru.returning_users,
  mu.total_users,
  SAFE_DIVIDE(ru.returning_users, mu.total_users) AS retention_rate
FROM retained_users ru
JOIN
  monthly_users mu
ON
  ru.current_month = mu.month and ru.cate = mu.cate and ru.merchant = mu.merchant
ORDER BY 1
</t>
  </si>
  <si>
    <t xml:space="preserve">select date, user_id, order_id, gmv, service_code, merchant, cate 
from  `momovn-prod.BU_ECOM.DLS_ALL_TRANS_V3_1` 
where month = '2024-09-01' and cate in ('ADS PAYMENT', 'MARKETPLACE') and user_id = 10520923
order by datetime
</t>
  </si>
  <si>
    <t xml:space="preserve">select date, user_id, order_id, gmv, service_code, merchant, cate 
from  `momovn-prod.BU_ECOM.DLS_ALL_TRANS_V3_1` 
where month = '2024-09-01' and cate in ('ADS PAYMENT', 'MARKETPLACE') and  user_id = 35042405
order by datetime
</t>
  </si>
  <si>
    <t xml:space="preserve">  SELECT
    t1.month AS current_month,
    t1.cate,
    t1.merchant,
    COUNT(DISTINCT t1.user_id) AS returning_users
  FROM
    `momovn-prod.BU_ECOM.DLS_ALL_TRANS_V3_1` t1
  JOIN
    `momovn-prod.BU_ECOM.DLS_ALL_TRANS_V3_1` t2
  ON t1.user_id = t2.user_id
    AND t2.month = DATE_SUB(t1.month, INTERVAL 1 month)
  WHERE t2.date &gt;= '2023-12-01'
  and t1.CATE IN ('LOGISTICS','ADS PAYMENT','APPLICATION STORE','MARKETPLACE','GAME','OTT','DIGITAL', 'CONTENT')
  GROUP BY 1,2,3</t>
  </si>
  <si>
    <t xml:space="preserve">select date, user_id, order_id, gmv, service_code, merchant, cate 
from  `momovn-prod.BU_ECOM.DLS_ALL_TRANS_V3_1` 
where month = '2024-09-01' and cate in ('ADS PAYMENT', 'MARKETPLACE') and and user_id = 35042405
order by datetime
</t>
  </si>
  <si>
    <t xml:space="preserve">  SELECT
    month,
    cate,
    merchant,
    COUNT(DISTINCT user_id) AS total_users
  FROM
  `momovn-prod.BU_ECOM.DLS_ALL_TRANS_V3_1`  
  WHERE date &gt;= '2024-01-01'
  and CATE = 'LOGISTICS' and CATE = 'GRAB-ENDUSER'
  GROUP BY 1,2,3</t>
  </si>
  <si>
    <t>with monthly_users AS (
  SELECT
    month,
    COUNT(DISTINCT user_id) AS total_users
  FROM
  `momovn-prod.BU_ECOM.DLS_ALL_TRANS_V3_1`  
  WHERE date &gt;= '2024-08-01'
  GROUP BY 1
)
  SELECT
    t1.month AS current_month,
    COUNT(DISTINCT t1.user_id) AS returning_users
  FROM
    `momovn-prod.BU_ECOM.DLS_ALL_TRANS_V3_1` t1
  JOIN
    `momovn-prod.BU_ECOM.DLS_ALL_TRANS_V3_1` t2
  ON t1.user_id = t2.user_id
    AND t2.month &lt; t1.month
  WHERE t2.date &gt;= '2024-08-01'
  GROUP BY 1</t>
  </si>
  <si>
    <t xml:space="preserve">  SELECT
    month,
    cate,
    merchant,
    COUNT(DISTINCT user_id) AS total_users
  FROM
  `momovn-prod.BU_ECOM.DLS_ALL_TRANS_V3_1`  
  WHERE date &gt;= '2024-01-01'
  and CATE = 'LOGISTICS' and MERCHANT = 'GRAB-ENDUSER'
  GROUP BY 1,2,3</t>
  </si>
  <si>
    <t>SELECT 
EXTRACT(month from date) as month,
Segment,
COUNT(DISTINCT USER_ID) as Total_Users
FROM(
SELECT 
date,
USER_ID,
CASE WHEN GMV &gt;= 5000000 and GMV &lt; 10000000 THEN '5M-10M'
  WHEN GMV &gt;= 10000000 and GMV &lt; 20000000 THEN '10M-20M'
  WHEN GMV &gt;= 20000000 and GMV &lt; 50000000 THEN '20M-50M'
  WHEN GMV &gt;= 50000000 THEN '50M+' END AS Segment
FROM `momovn-prod.BU_ECOM.DLS_ALL_TRANS_V3_1`
WHERE CATE = 'GAME' and date between '2024-06-01' and '2024-08-31'
  AND GMV &gt;= 5000000
)
GROUP BY 1,2
ORDER BY 1,2</t>
  </si>
  <si>
    <t>with google_users as (
select * 
from `momovn-prod.BU_ECOM.DLS_ALL_TRANS_V3_1`
WHERE CATE = 'ADS PAYMENT' AND SUB_CATE = 'GOOGLE' AND EXTRACT(MONTH from `DATE`) = 1
)
select 
  g.USER_ID,
  m.date,
  m.GMV,
  m.ORDER_ID,
  CASE WHEN m.date between '2024-01-01' and '2024-03-31' THEN m.user_id 
    WHEN m.date between '2024-04-01' and '2024-06-30' THEN m.user_id END AS Quarter
from google_users g 
  join `momovn-prod.BU_ECOM.DLS_ALL_TRANS_V3_1` m 
  ON g.USER_ID = m.USER_ID
  and m.date &gt;= '2024-01-01'</t>
  </si>
  <si>
    <t>with new_users as(
select * from (
select 
*, 
row_number() over(partition by user_id order by datetime) as rk_user 
from `momovn-prod.BU_ECOM.DLS_ALL_TRANS_V3_1`
where MERCHANT = 'GRAB-ENDUSER'
)
where rk_user = 1  and date &gt;= '2024-08-01'
),
trans as(
  select 
  m.date, 
  n.user_id,
  row_number() over(partition by m.user_id order by m.datetime) as trans_order
  from new_users n join `momovn-prod.BU_ECOM.DLS_ALL_TRANS_V3_1` m
    on n.user_id = m.user_id
    and m.merchant = 'GRAB-ENDUSER'
), 
datediff as (
    select t1.user_id, 
    DATE_DIFF(t2.date,t1.date,DAY) AS days_diff,
    from trans t1 join trans t2 on t1.user_id = t2.user_id
    AND t1.trans_order = 1 and t2.trans_order = 2
)
select AVG(days_diff) as avg_diff_days
FROM datediff</t>
  </si>
  <si>
    <t>with new_users as(
select * from (
select 
*, 
row_number() over(partition by user_id order by datetime) as rk_user 
from `momovn-prod.BU_ECOM.DLS_ALL_TRANS_V3_1`
where MERCHANT = 'GRAB-ENDUSER'
)
where rk_user = 1  and month = '2024-08-01'
),
trans as(
  select 
  m.date, 
  n.user_id,
  row_number() over(partition by m.user_id order by m.datetime) as trans_order
  from new_users n join `momovn-prod.BU_ECOM.DLS_ALL_TRANS_V3_1` m
    on n.user_id = m.user_id
    and m.merchant = 'GRAB-ENDUSER'
), 
datediff as (
    select t1.user_id, 
    DATE_DIFF(t2.date,t1.date,DAY) AS days_diff,
    from trans t1 join trans t2 on t1.user_id = t2.user_id
    AND t1.trans_order = 1 and t2.trans_order = 2
)
select AVG(days_diff) as avg_diff_days
FROM datediff</t>
  </si>
  <si>
    <t>with google_users as (
select * 
from `momovn-prod.BU_ECOM.DLS_ALL_TRANS_V3_1`
WHERE CATE = 'ADS PAYMENT' AND EXTRACT(MONTH from `DATE`) = 1
)
SELECT * FROM (
select 
  g.USER_ID,
  m.GMV,
  m.ORDER_ID, 
  CASE WHEN m.date between '2024-01-01' and '2024-03-31' THEN m.user_id END AS Q1,
  CASE WHEN m.date between '2024-04-01' and '2024-06-30' THEN m.user_id END AS Q2
from google_users g 
  join `momovn-prod.BU_ECOM.DLS_ALL_TRANS_V3_1` m 
  ON g.USER_ID = m.USER_ID
) 
WHERE Q1 is not null and Q2 is not null</t>
  </si>
  <si>
    <t>with google_users as (
select * 
from `momovn-prod.BU_ECOM.DLS_ALL_TRANS_V3_1`
WHERE CATE = 'ADS PAYMENT' AND SUB_CATE = 'GOOGLE' AND EXTRACT(MONTH from `DATE`) = 1
)
select 
  g.USER_ID,
  m.date,
  m.GMV,
  m.ORDER_ID,
  CASE WHEN m.date between '2024-01-01' and '2024-03-31' THEN m.user_id END AS Q1,
  CASE WHEN m.date between '2024-04-01' and '2024-06-30' THEN m.user_id END AS Q2
from google_users g 
  join `momovn-prod.BU_ECOM.DLS_ALL_TRANS_V3_1` m 
  ON g.USER_ID = m.USER_ID
  and m.date &gt;= '2024-01-01'</t>
  </si>
  <si>
    <t>with a as (
  select 
    month,
    user_id,
    sum (gmv) as total_gmv,
    case when sum (gmv) &gt;= 5000000 and sum(gmv) &lt; 10000000 then '1. 5-10M'
      when sum (gmv) &gt;= 10000000 and sum(gmv) &lt; 20000000 then '2.10-20M'
      when sum (gmv) &gt;= 20000000 and sum(gmv) &lt; 50000000 then '3.20-50M'
      else '4. Tren 50T' end as segment
  from `momovn-prod.BU_ECOM.DLS_ALL_TRANS_V3_1`
  where cate = 'GAME' and month &gt;= '2024-06-01'
  group by 1,2
)
select month, segment, count (distinct user_id)
from a
group by 1,2
order by 1,2</t>
  </si>
  <si>
    <t>with new_users as(
select * from (
select 
*, 
row_number() over(partition by user_id order by datetime) as rk_user 
from `momovn-prod.BU_ECOM.DLS_ALL_TRANS_V3_1`
where MERCHANT = 'GRAB-ENDUSER'
)
where rk_user = 1  and month = '2024-08-01'
)
  select 
  m.date, 
  n.user_id,
  row_number() over(partition by m.user_id order by m.datetime) as trans_order
  from new_users n join `momovn-prod.BU_ECOM.DLS_ALL_TRANS_V3_1` m
    on n.user_id = m.user_id
    and m.merchant = 'GRAB-ENDUSER'
 order by user_id, date</t>
  </si>
  <si>
    <t xml:space="preserve">with google_users as (
select * 
from `momovn-prod.BU_ECOM.DLS_ALL_TRANS_V3_1`
WHERE CATE = 'ADS PAYMENT' AND SUB_CATE = 'GOOGLE' AND EXTRACT(MONTH from `DATE`) = 1
),final_table as(
select 
  g.USER_ID,
  m.GMV,
  m.ORDER_ID, 
  CASE WHEN m.date between '2024-01-01' and '2024-03-31' THEN m.user_id END AS Q1,
  CASE WHEN m.date between '2024-04-01' and '2024-06-30' THEN m.user_id END AS Q2
from google_users g 
  join `momovn-prod.BU_ECOM.DLS_ALL_TRANS_V3_1` m 
  ON g.USER_ID = m.USER_ID
)
select 
Q1, 
Q2, 
</t>
  </si>
  <si>
    <t>SELECT
  CITY, 
  AGE_GROUP,
  Gender, 
  COUNT(DISTINCT USER_ID) as total_users
FROM `momovn-prod.BU_ECOM.DLS_ALL_TRANS_V3_1` 
WHERE date &gt;= '2024-01-01'
AND CATE IN ('LOGISTICS','ADS PAYMENT','APPLICATION STORE','MARKETPLACE','GAME','OTT','DIGITAL','CONTENT')
GROUP BY 1,2,3</t>
  </si>
  <si>
    <t xml:space="preserve">select DISTINCT CATE 
FROM `momovn-prod.BU_ECOM.DLS_ALL_TRANS_V3_1` </t>
  </si>
  <si>
    <t xml:space="preserve">select distinct cate
from `momovn-prod.BU_ECOM.DLS_ALL_TRANS_V3_1`
</t>
  </si>
  <si>
    <t xml:space="preserve">select DISTINCT CATE 
FROM FROM `momovn-prod.BU_ECOM.DLS_ALL_TRANS_V3_1` </t>
  </si>
  <si>
    <t>with google_users as (
select * 
from `momovn-prod.BU_ECOM.DLS_ALL_TRANS_V3_1`
WHERE CATE = 'ADS PAYMENT' AND SUB_CATE = 'GOOGLE' AND EXTRACT(MONTH from `DATE`) = 1
)
select 
  g.USER_ID,
  m.date,
  m.GMV,
  m.ORDER_ID 
from google_users g 
  join `momovn-prod.BU_ECOM.DLS_ALL_TRANS_V3_1` m 
  ON g.USER_ID = m.USER_ID</t>
  </si>
  <si>
    <t>SELECT user_id, cate, gmv
FROM `momovn-prod.BU_ECOM.DLS_ALL_TRANS_V3_1`
WHERE USER_ID = 17435332</t>
  </si>
  <si>
    <t>select distinct datetime
from `momovn-prod.BU_ECOM.DLS_ALL_TRANS_V3_1`
order by rand ()
limit 300000</t>
  </si>
  <si>
    <t>with google_users as (
select * 
from `momovn-prod.BU_ECOM.DLS_ALL_TRANS_V3_1`
WHERE CATE = 'ADS PAYMENT' AND SUB_CATE = 'GOOGLE' AND EXTRACT(MONTH from `DATE`) = 1
)
select 
  g.USER_ID,
  m.date,
  m.GMV,
  m.ORDER_ID 
from google_users g 
  join `momovn-prod.BU_ECOM.DLS_ALL_TRANS_V3_1` m 
  ON g.USER_ID = m.USER_ID
  and m.date &gt;= '2024-01-01'</t>
  </si>
  <si>
    <t>select *
from `momovn-prod.BU_ECOM.DLS_ALL_TRANS_V3_1`
where merchant = 'APPLE' and GMV &gt;= 4000000
LIMIT 10</t>
  </si>
  <si>
    <t xml:space="preserve">select distinct month
from `momovn-prod.BU_ECOM.DLS_ALL_TRANS_V3_1`
where date &lt;= '2024-01-01'
order by 1 desc
</t>
  </si>
  <si>
    <t xml:space="preserve">SELECT 
date,
USER_ID,
CASE WHEN GMV &gt;= 5000000 and GMV &lt; 10000000 THEN '5M-10M'
  WHEN GMV &gt;= 10000000 and GMV &lt; 20000000 THEN '10M-20M'
  WHEN GMV &gt;= 20000000 and GMV &lt; 50000000 THEN '20M-50M'
  WHEN GMV &gt;= 50000000 THEN '50M+' END AS Segment
FROM `momovn-prod.BU_ECOM.DLS_ALL_TRANS_V3_1`
WHERE CATE = 'GAME' and date between '2024-06-01' and '2024-08-31'
</t>
  </si>
  <si>
    <t>with new_users as(
select * from (
select 
*, 
row_number() over(partition by user_id order by datetime) as rk_user 
from `momovn-prod.BU_ECOM.DLS_ALL_TRANS_V3_1`
where CATE = 'GRAB'
)
where rk_user = 1  and date &gt;= '2024-08-01'
),
trans as(
  select 
  date, 
  user_id,
  row_number() over(partition by user_id order by datetime) as trans_order
  from new_users
), 
datediff as (
    select t1.user_id, 
    DATE_DIFF(t2.date,t1.date,DAY) AS days_diff,
    from trans t1 join trans t2 on t1.user_id = t2.user_id
    AND t1.trans_order = 1 and t2.trans_order = 2
)
select AVG(days_diff)
FROM datediff</t>
  </si>
  <si>
    <t xml:space="preserve">with game_profile as (
SELECT 
EXTRACT(month from date) as month,
USER_ID,
SUM(GMV) AS GMV
FROM `momovn-prod.BU_ECOM.DLS_ALL_TRANS_V3_1`
WHERE CATE = 'GAME' and date between '2024-06-01' and '2024-08-31'
GROUP BY 1,2
)
SELECT 
month,
Segment,
COUNT(DISTINCT USER_ID) as Total_Users
FROM(
SELECT 
month,
USER_ID,
CASE WHEN GMV &gt;= 5000000 and GMV &lt; 10000000 THEN '5M-10M'
  WHEN GMV &gt;= 10000000 and GMV &lt; 20000000 THEN '10M-20M'
  WHEN GMV &gt;= 20000000 and GMV &lt; 50000000 THEN '20M-50M'
  WHEN GMV &gt;= 50000000 THEN '50M+' END AS Segment
FROM game_profile
WHERE GMV &gt;= 5000000
)
GROUP BY 1,2
ORDER BY 1,2
</t>
  </si>
  <si>
    <t>with new_users as(
select * from (
select 
*, 
row_number() over(partition by user_id order by datetime) as rk_user 
from `momovn-prod.BU_ECOM.DLS_ALL_TRANS_V3_1`
where CATE = 'GRAB'
)
where rk_user = 1  and date &gt;= '2024-08-01'
),
trans as(
  select 
  date, 
  user_id,
  row_number() over(partition by user_id order by datetime) as trans_order
  from new_users
), 
datediff as (
    select t1.user_id, 
    DATE_DIFF(t2.date,t1.date,DAY) AS days_diff,
    from trans t1 join trans t2 on t1.user_id = t2.user_id
    where t1.trans_order = 1 and t2.trans_order = 2
)
select AVG(days_diff)
FROM datediff</t>
  </si>
  <si>
    <t>SELECT user_id, cate, gmv
FROM `momovn-prod.BU_ECOM.DLS_ALL_TRANS_V3_1`
WHERE USER_ID = 17435332
ORDER BY GMV DESC</t>
  </si>
  <si>
    <t>with new_users as(
select * from (
select 
*, 
row_number() over(partition by user_id order by datetime) as rk_user 
from `momovn-prod.BU_ECOM.DLS_ALL_TRANS_V3_1`
where MERCHANT = 'GRAB'
)
where rk_user = 1  and date &gt;= '2024-08-01'
),
trans as(
  select 
  date, 
  user_id,
  row_number() over(partition by user_id order by datetime) as trans_order
  from new_users
), 
datediff as (
    select t1.user_id, 
    DATE_DIFF(t2.date,t1.date,DAY) AS days_diff,
    from trans t1 join trans t2 on t1.user_id = t2.user_id
    AND t1.trans_order = 1 and t2.trans_order = 2
)
select AVG(days_diff)
FROM datediff</t>
  </si>
  <si>
    <t>select * 
from `momovn-prod.BU_ECOM.DLS_ALL_TRANS_V3_1`
WHERE CATE = 'ADS PAYMENT' AND EXTRACT(MONTH from `DATE`) = 1</t>
  </si>
  <si>
    <t>with users as (
  SELECT  
  EXTRACT(month from date) as Month, 
  COUNT(DISTINCT USER_ID) as total_users,
  COUNT(DISTINCT IF (IS_KYC = true and IS_FACE_MATCHING = true, USER_ID,NULL)) as filter_users
  FROM `momovn-prod.BU_ECOM.DLS_ALL_TRANS_V3_1` 
  WHERE date &gt;= '2024-01-01'
  GROUP BY 1
)
select 
  month, 
  filter_users/total_users as users_rate
from users</t>
  </si>
  <si>
    <t xml:space="preserve">SELECT 
DISTINCT CATE
FROM `momovn-prod.BU_ECOM.DLS_ALL_TRANS_V3_1`
WHERE date between '2024-06-01' and '2024-08-31'
</t>
  </si>
  <si>
    <t xml:space="preserve">with game_profile as (
SELECT 
EXTRACT(month from date) as month,
USER_ID,
SUM(GMV) AS GMV
FROM `momovn-prod.BU_ECOM.DLS_ALL_TRANS_V3_1`
WHERE CATE = 'GAME' and date between '2024-06-01' and '2024-08-31'
GROUP BY 1,2
)
SELECT 
month,
Segment,
COUNT(DISTINCT USER_ID) as Total_Users
FROM(
SELECT 
month,
USER_ID,
CASE WHEN GMV &gt;= 5000000 and GMV &lt; 10000000 THEN '1.5M-10M'
  WHEN GMV &gt;= 10000000 and GMV &lt; 20000000 THEN '2.10M-20M'
  WHEN GMV &gt;= 20000000 and GMV &lt; 50000000 THEN '3.20M-50M'
  WHEN GMV &gt;= 50000000 THEN '4.50M+' END AS Segment
FROM game_profile
WHERE GMV &gt;= 5000000
)
GROUP BY 1,2
ORDER BY 1,2
</t>
  </si>
  <si>
    <t>select distinct datetime
from `momovn-prod.BU_ECOM.DLS_ALL_TRANS_V3_1`
where date &gt;= '2023-06-01'
order by rand ()
limit 300000</t>
  </si>
  <si>
    <t xml:space="preserve">SELECT 
date,
USER_ID,
CASE WHEN GMV &gt;= 5000000 and GMV &lt; 10000000 THEN '5M-10M'
  WHEN GMV &gt;= 10000000 and GMV &lt; 20000000 THEN '10M-20M'
  WHEN GMV &gt;= 20000000 and GMV &lt; 50000000 THEN '20M-50M'
  WHEN GMV &gt;= 50000000 THEN '50M+' END AS Segment
FROM `momovn-prod.BU_ECOM.DLS_ALL_TRANS_V3_1`
WHERE CATE = 'GAME' and date between '2024-06-01' and '2024-08-31'
AND GMV &gt;= 5000000
</t>
  </si>
  <si>
    <t xml:space="preserve">select distinct month
from `momovn-prod.BU_ECOM.DLS_ALL_TRANS_V3_1`
where date &lt;= '2024-01-01' and merchant = 'GSM'
order by 1 desc
</t>
  </si>
  <si>
    <t>select *
from `momovn-prod.BU_ECOM.DLS_ALL_TRANS_V3_1`
where MERCHANT = 'GRAB-ENDUSER' and user_id = 103098
order by datetime desc</t>
  </si>
  <si>
    <t xml:space="preserve">select distinct month
from `momovn-prod.BU_ECOM.DLS_ALL_TRANS_V3_1`
where date &lt;= '2024-01-01' and merchant = 'XANH SM'
order by 1 desc
</t>
  </si>
  <si>
    <t xml:space="preserve">SELECT 
date,
USER_ID
FROM `momovn-prod.BU_ECOM.DLS_ALL_TRANS_V3_1`
WHERE CATE = 'GAME' and date between '2024-06-01' and '2024-08-31'
</t>
  </si>
  <si>
    <t xml:space="preserve">SELECT 
date,
USER_ID
FROM `momovn-prod.BU_ECOM.DLS_ALL_TRANS_V3_1`
WHERE CATE = 'Game' and date between '2024-06-01' and '2024-08-31'
</t>
  </si>
  <si>
    <t>with users as (
  SELECT  
  EXTRACT(month from date) as Month, 
  COUNT(DISTINCT USER_ID) as total_users,
  COUNT(DISTINCT IF (IS_KYC = true and IS_FACE_MATCHING = true, USER_ID,NULL)) as filter_users
  FROM `momovn-prod.BU_ECOM.DLS_ALL_TRANS_V3_1` 
  WHERE date &gt;= '2024-01-01'
  GROUP BY 1
)
select 
  month, 
  filter_users/total_users as users_rate
from users
order by month asc</t>
  </si>
  <si>
    <t>select * 
from `momovn-prod.BU_ECOM.DLS_ALL_TRANS_V3_1`
WHERE CATE = 'ADS PAYMENT' AND SUB_CATE = 'GOOGLE' AND EXTRACT(MONTH from `DATE`) = 1</t>
  </si>
  <si>
    <t>with monthly_transactions as(
  select 
  month, 
  COUNT(DISTINCT USER_ID) as total_users,
  COUNT(DISTINCT ORDER_ID) as total_trans,
  SUM(GMV) as GMV
  from `momovn-prod.BU_ECOM.DLS_ALL_TRANS_V3_1`
  where CATE IN ('LOGISTICS','ADS PAYMENT','APPLICATION STORE','MARKETPLACE','GAME','OTT','DIGITAL', 'CONTENT')
  GROUP BY 1
), 
monthly_trans_token as(
  select
  month, 
  COUNT(DISTINCT USER_ID) as total_token_users,
  COUNT(DISTINCT ORDER_ID) as total_token_trans,
  SUM(GMV) as token_GMV
  from `momovn-prod.BU_ECOM.DLS_ALL_TRANS_V3_1`
  where CATE IN ('LOGISTICS','ADS PAYMENT','APPLICATION STORE','MARKETPLACE','GAME','OTT','DIGITAL', 'CONTENT') and req_type = 'token' 
  group by 1
)
  select
  tk.month,
  tk.total_token_users/t.total_users,
  tk.total_token_trans/t.total_trans,
  tk.token_GMV/t.GMV
  from monthly_transactions t join monthly_trans_token tk on t.month = tk.month</t>
  </si>
  <si>
    <t>with google_users as (
select * 
from `momovn-prod.BU_ECOM.DLS_ALL_TRANS_V3_1`
WHERE CATE = 'ADS PAYMENT' AND SUB_CATE = 'GOOGLE' AND EXTRACT(MONTH from `DATE`) = 1
),final_table as(
select 
  g.USER_ID,
  m.GMV,
  m.ORDER_ID, 
  CASE WHEN m.date between '2024-01-01' and '2024-03-31' THEN 'Q1'
    WHEN m.date between '2024-04-01' and '2024-06-30' THEN 'Q2' END AS Quarter
from google_users g 
  join `momovn-prod.BU_ECOM.DLS_ALL_TRANS_V3_1` m 
  ON g.USER_ID = m.USER_ID and m.date &gt;= '2024-01-01'
)
select Quarter, 
COUNT(DISTINCT USER_ID) as total_users,
COUNT(DISTINCT ORDER_ID) as total_transactions, 
SUM(GMV)
from final_table 
GROUP BY 1</t>
  </si>
  <si>
    <t>SELECT
   USER_ID, 
   DATE
FROM `momovn-prod.BU_ECOM.DLS_ALL_TRANS_V3_1`
WHERE MERCHANT IN ('VIETLOTT SMS VIETTEL','VIETLOTT SMS MOBI','VIETLOTT SMS VINA')</t>
  </si>
  <si>
    <t>with google_users as (
select * 
from `momovn-prod.BU_ECOM.DLS_ALL_TRANS_V3_1`
WHERE CATE = 'ADS PAYMENT' AND SUB_CATE = 'GOOGLE' AND EXTRACT(MONTH from `DATE`) = 1
),final_table as(
select 
  g.USER_ID,
  m.GMV,
  m.ORDER_ID, 
  CASE WHEN m.date between '2024-01-01' and '2024-03-31' THEN m.user_id 
    WHEN m.date between '2024-04-01' and '2024-06-30' THEN m.user_id END AS Quarter
from google_users g 
  join `momovn-prod.BU_ECOM.DLS_ALL_TRANS_V3_1` m 
  ON g.USER_ID = m.USER_ID and m.date &gt;= '2024-01-01'
)
select Quarter, 
COUNT(DISTINCT USER_ID) as total_users,
COUNT(DISTINCT ORDER_ID) as total_transactions, 
SUM(GMV)
from final_table 
GROUP BY 1</t>
  </si>
  <si>
    <t>SELECT
  distinct date, 
  user_id,
  is_kyc, 
  is_face_matching
FROM `momovn-prod.BU_ECOM.DLS_ALL_TRANS_V3_1` 
WHERE date between '2024-07-01' and '2024-08-31'</t>
  </si>
  <si>
    <t>SELECT
  CITY, 
  AGE,
  Gender, 
  COUNT(DISTINCT USER_ID) as total_users
FROM `momovn-prod.BU_ECOM.DLS_ALL_TRANS_V3_1` 
WHERE date &gt;= '2024-01-01'
GROUP BY 1,2,3</t>
  </si>
  <si>
    <t>SELECT
  CITY, 
  AGE_GROUP,
  Gender, 
  COUNT(DISTINCT USER_ID) as total_users
FROM `momovn-prod.BU_ECOM.DLS_ALL_TRANS_V3_1` 
WHERE date &gt;= '2024-01-01'
GROUP BY 1,2,3</t>
  </si>
  <si>
    <t xml:space="preserve">SELECT COUNT(USER_ID) AS total_user, SUM(GMV) AS total_GMV
FROM `momovn-prod.BU_ECOM.DLS_ALL_TRANS_V3_1`
WHERE MONTH BETWEEN "2024-08-01" AND "2024-08-31"AND MERCHANT="APPLE"
</t>
  </si>
  <si>
    <t>with google_users as (
select * 
from `momovn-prod.BU_ECOM.DLS_ALL_TRANS_V3_1`
WHERE CATE = 'ADS PAYMENT' AND SUB_CATE = 'GOOGLE' AND EXTRACT(MONTH from `DATE`) = 1
),final_table as(
select 
  g.USER_ID,
  m.GMV,
  m.ORDER_ID, 
  CASE WHEN m.date between '2024-01-01' and '2024-03-31' THEN 'Q1'
    WHEN m.date between '2024-04-01' and '2024-06-30' THEN 'Q2' END AS Quarter
from google_users g 
  join `momovn-prod.BU_ECOM.DLS_ALL_TRANS_V3_1` m 
  ON g.USER_ID = m.USER_ID and m.date between '2024-01-01' and '2024-06-30'
)
select Quarter, 
COUNT(DISTINCT USER_ID) as total_users,
COUNT(DISTINCT ORDER_ID) as total_transactions, 
SUM(GMV) as  GMV
from final_table 
GROUP BY 1</t>
  </si>
  <si>
    <t xml:space="preserve">SELECT DISTINCT COUNT(USER_ID) AS total_user, SUM(GMV) AS total_GMV
FROM `momovn-prod.BU_ECOM.DLS_ALL_TRANS_V3_1`
WHERE MONTH BETWEEN "2024-08-01" AND "2024-08-31"AND MERCHANT="APPLE"
</t>
  </si>
  <si>
    <t>SELECT 
EXTRACT(month from date) as month,
Segment,
COUNT(DISTINCT USER_ID) 
FROM(
SELECT 
date,
USER_ID,
CASE WHEN GMV &gt;= 5000000 and GMV &lt; 10000000 THEN '5M-10M'
  WHEN GMV &gt;= 10000000 and GMV &lt; 20000000 THEN '10M-20M'
  WHEN GMV &gt;= 20000000 and GMV &lt; 50000000 THEN '20M-50M'
  ELSE '50M+' END AS Segment
FROM `momovn-prod.BU_ECOM.DLS_ALL_TRANS_V3_1`
WHERE CATE = 'GAME' and date between '2024-06-01' and '2024-08-31'
)
GROUP BY 1,2</t>
  </si>
  <si>
    <t>SELECT 
EXTRACT(month from date) as month,
Segment,
COUNT(DISTINCT USER_ID) 
FROM(
SELECT 
date,
USER_ID,
CASE WHEN GMV &gt;= 5000000 and GMV &lt; 10000000 THEN '5M-10M'
  WHEN GMV &gt;= 10000000 and GMV &lt; 20000000 THEN '10M-20M'
  WHEN GMV &gt;= 20000000 and GMV &lt; 50000000 THEN '20M-50M'
  ELSE '50M+' END AS Segment
FROM `momovn-prod.BU_ECOM.DLS_ALL_TRANS_V3_1`
WHERE CATE = 'Game' and date between '2024-06-01' and '2024-08-31'
)
GROUP BY 1,2</t>
  </si>
  <si>
    <t>with monthly_transactions as(
  select 
  month, 
  COUNT(DISTINCT USER_ID) as total_users,
  COUNT(DISTINCT ORDER_ID) as total_trans,
  SUM(GMV) as GMV
  from `momovn-prod.BU_ECOM.DLS_ALL_TRANS_V3_1`
  where CATE IN ('LOGISTICS','ADS PAYMENT','APPLICATION STORE','MARKETPLACE','GAME','OTT','DIGITAL', 'CONTENT')
  GROUP BY 1
), 
monthly_trans_token as(
  select
  month, 
  COUNT(DISTINCT USER_ID) as total_token_users,
  COUNT(DISTINCT ORDER_ID) as total_token_trans,
  SUM(GMV) as token_GMV
  from `momovn-prod.BU_ECOM.DLS_ALL_TRANS_V3_1`
  where CATE IN ('LOGISTICS','ADS PAYMENT','APPLICATION STORE','MARKETPLACE','GAME','OTT','DIGITAL', 'CONTENT') and req_type = 'token' 
  group by 1
)
  select
  tk.month,
  tk.total_token_users/t.total_users as percent_User,
  tk.total_token_trans/t.total_trans as percent_Trans,
  tk.token_GMV/t.GMV as percent_GMV
  from monthly_transactions t join monthly_trans_token tk on t.month = tk.month</t>
  </si>
  <si>
    <t>with new_users as(
select * from (
select 
*, 
row_number() over(partition by user_id order by datetime) as rk_user 
from `momovn-prod.BU_ECOM.DLS_ALL_TRANS_V3_1`
where MERCHANT = 'GRAB'
)
where rk_user = 1  and date &gt;= '2024-08-01'
)
  select 
  m.date, 
  n.user_id,
  row_number() over(partition by m.user_id order by m.datetime) as trans_order
  from new_users n join `momovn-prod.BU_ECOM.DLS_ALL_TRANS_V3_1` m
    on n.user_id = m.user_id</t>
  </si>
  <si>
    <t>with new_users as(
select * from (
select 
*, 
row_number() over(partition by user_id order by datetime) as rk_user 
from `momovn-prod.BU_ECOM.DLS_ALL_TRANS_V3_1`
where MERCHANT = 'GRAB'
)
where rk_user = 1  and date &gt;= '2024-08-01'
),
trans as(
  select 
  m.date, 
  n.user_id,
  row_number() over(partition by m.user_id order by m.datetime) as trans_order
  from new_users n join `momovn-prod.BU_ECOM.DLS_ALL_TRANS_V3_1` m
    on n.user_id = m.user_id
), 
datediff as (
    select t1.user_id, 
    DATE_DIFF(t2.date,t1.date,DAY) AS days_diff,
    from trans t1 join trans t2 on t1.user_id = t2.user_id
    AND t1.trans_order = 1 and t2.trans_order = 2
)
select AVG(days_diff)
FROM datediff</t>
  </si>
  <si>
    <t>with google_users as (
select * 
from `momovn-prod.BU_ECOM.DLS_ALL_TRANS_V3_1`
WHERE CATE = 'ADS PAYMENT' AND EXTRACT(MONTH from `DATE`) = 1
)
select 
  g.USER_ID,
  m.GMV,
  m.ORDER_ID, 
  CASE WHEN m.date between '2024-01-01' and '2024-03-31' THEN m.user_id END AS Q1,
  CASE WHEN m.date between '2024-04-01' and '2024-06-30' THEN m.user_id END AS Q2
from google_users g 
  join `momovn-prod.BU_ECOM.DLS_ALL_TRANS_V3_1` m 
  ON g.USER_ID = m.USER_ID</t>
  </si>
  <si>
    <t xml:space="preserve">  select 
  m.date, 
  n.user_id,
  row_number() over(partition by m.user_id order by m.datetime) as trans_order
  from new_users n join `momovn-prod.BU_ECOM.DLS_ALL_TRANS_V3_1` m
    on n.user_id = m.user_id</t>
  </si>
  <si>
    <t>select * from (
select 
*, 
row_number() over(partition by user_id order by datetime) as rk_user 
from `momovn-prod.BU_ECOM.DLS_ALL_TRANS_V3_1`
where CATE = 'GRAB'
)
where rk_user = 1  and date &gt;= '2024-08-01'</t>
  </si>
  <si>
    <t>with google_users as (
select * 
from `momovn-prod.BU_ECOM.DLS_ALL_TRANS_V3_1`
WHERE CATE = 'ADS PAYMENT' AND EXTRACT(MONTH from `DATE`) = 1
)
select 
  g.USER_ID,
  m.GMV,
  m.ORDER_ID, 
  CASE WHEN m.date between '2024-01-01' and '2024-03-31' THEN m.user_id END AS Q1,
  CASE WHEN m.date between '2024-04-01' and '2024-06-30' THEN m.user_id END AS Q2
from google_users g 
  join `momovn-prod.BU_ECOM.DLS_ALL_TRANS_V3_1` m 
  ON g.USER_ID = m.USER_ID
LIMIT 10</t>
  </si>
  <si>
    <t xml:space="preserve">with rk as (select date, 
user_id,
cate, 
merchant, 
rank() over(partition by user_id,cate,merchant order by datetime) as rank_cate, 
rank() over(partition by user_id,MERCHANT order by datetime) as rank_merchant
from `momovn-prod.BU_ECOM.DLS_ALL_TRANS_V3_1`
where cate = 'LOGISTICS'
)
select  
  date,
  merchant,
  CASE WHEN rank_cate = 1 THEN user_id END AS ntc, 
  CASE WHEN rank_merchant = 1 THEN user_id END AS ntcmm
from rk 
where date &gt;= '2024-01-01'
</t>
  </si>
  <si>
    <t>select * from (
select 
*, 
row_number() over(partition by user_id order by datetime) as rk_user 
from `momovn-prod.BU_ECOM.DLS_ALL_TRANS_V3_1`
where MERCHANT = 'GRAB'
)
where rk_user = 1  and date &gt;= '2024-08-01'</t>
  </si>
  <si>
    <t>SELECT 
EXTRACT(month from date) as month,
Segment,
COUNT(DISTINCT USER_ID) as Total_Users
FROM(
SELECT 
date,
USER_ID,
CASE WHEN GMV &gt;= 5000000 and GMV &lt; 10000000 THEN '5M-10M'
  WHEN GMV &gt;= 10000000 and GMV &lt; 20000000 THEN '10M-20M'
  WHEN GMV &gt;= 20000000 and GMV &lt; 50000000 THEN '20M-50M'
  ELSE '50M+' END AS Segment
FROM `momovn-prod.BU_ECOM.DLS_ALL_TRANS_V3_1`
WHERE CATE = 'GAME' and date between '2024-06-01' and '2024-08-31'
)
GROUP BY 1,2
ORDER BY 1,2</t>
  </si>
  <si>
    <t xml:space="preserve">with rk as (select date, 
user_id,
cate, 
merchant, 
rank() over(partition by user_id,cate,merchant order by datetime) as rank_cate, 
rank() over(partition by user_id,MERCHANT order by datetime) as rank_merchant
from `momovn-prod.BU_ECOM.DLS_ALL_TRANS_V3_1`
where cate = 'LOGISTICS'
)
select  
  date,
  cate,
  merchant,
  CASE WHEN rank_cate = 1 THEN user_id END AS ntc, 
  CASE WHEN rank_merchant = 1 THEN user_id END AS ntcmm
from rk 
where date &gt;= '2024-01-01'
</t>
  </si>
  <si>
    <t>SELECT 
EXTRACT(month from date) as month,
Segment,
COUNT(DISTINCT USER_ID) as Total_Users
FROM(
SELECT 
date,
USER_ID,
CASE WHEN GMV &gt;= 5000000 and GMV &lt; 10000000 THEN '1.5M-10M'
  WHEN GMV &gt;= 10000000 and GMV &lt; 20000000 THEN '2.10M-20M'
  WHEN GMV &gt;= 20000000 and GMV &lt; 50000000 THEN '3.20M-50M'
  ELSE '4.50M+' END AS Segment
FROM `momovn-prod.BU_ECOM.DLS_ALL_TRANS_V3_1`
WHERE CATE = 'GAME' and date between '2024-06-01' and '2024-08-31'
)
GROUP BY 1,2
ORDER BY 1,2</t>
  </si>
  <si>
    <t>with new_users as(
select * from (
select 
*, 
row_number() over(partition by user_id order by datetime) as rk_user 
from `momovn-prod.BU_ECOM.DLS_ALL_TRANS_V3_1`
where MERCHANT = 'GRAB-ENDUSER'
)
where rk_user = 1  and month = '2024-08-01'
),
trans as(
  select 
  m.date, 
  n.user_id,
  row_number() over(partition by m.user_id order by m.datetime) as trans_order
  from new_users n join `momovn-prod.BU_ECOM.DLS_ALL_TRANS_V3_1` m
    on n.user_id = m.user_id
    and m.merchant = 'GRAB-ENDUSER'
)
    select t1.user_id, 
    DATE_DIFF(t2.date,t1.date,DAY) AS days_diff,
    from trans t1 join trans t2 on t1.user_id = t2.user_id
    AND t1.trans_order = 1 
    and t2.trans_order = 2
    where t1.user_id = 103098</t>
  </si>
  <si>
    <t>SELECT 
EXTRACT(month from date) as month,
Segment,
COUNT(DISTINCT USER_ID) as Total_Users
FROM(
SELECT 
date,
USER_ID,
CASE WHEN GMV &gt;= 5000000 and GMV &lt; 10000000 THEN '5M-10M'
  WHEN GMV &gt;= 10000000 and GMV &lt; 20000000 THEN '10M-20M'
  WHEN GMV &gt;= 20000000 and GMV &lt; 50000000 THEN '20M-50M'
  WHEN GMV &gt;= 50000000 THEN '50M+' END AS Segment
FROM `momovn-prod.BU_ECOM.DLS_ALL_TRANS_V3_1`
WHERE CATE = 'GAME' and date between '2024-06-01' and '2024-08-31'
)
GROUP BY 1,2
ORDER BY 1,2</t>
  </si>
  <si>
    <t>with new_users as(
select * from (
select 
*, 
row_number() over(partition by user_id order by datetime) as rk_user 
from `momovn-prod.BU_ECOM.DLS_ALL_TRANS_V3_1`
where MERCHANT = 'GRAB-ENDUSER'
)
where rk_user = 1  and month = '2024-08-01'
),
trans as(
  select 
  m.date, 
  n.user_id,
  row_number() over(partition by m.user_id order by m.datetime) as trans_order
  from new_users n join `momovn-prod.BU_ECOM.DLS_ALL_TRANS_V3_1` m
    on n.user_id = m.user_id
    and m.merchant = 'GRAB-ENDUSER'
)
    select t1.user_id, t1.date,t2.date,
    DATE_DIFF(t2.date,t1.date,DAY) AS days_diff,
    from trans t1 join trans t2 on t1.user_id = t2.user_id
    AND t1.trans_order = 1 
    and t2.trans_order = 2
    where t1.user_id = 103098</t>
  </si>
  <si>
    <t>with users as (
  SELECT  
  EXTRACT(month from date) as Month, 
  COUNT(DISTINCT USER_ID) as total_users,
  COUNT(DISTINCT IF (IS_KYC = true and IS_FACE_MATCHING = true, USER_ID,NULL)) as filter_users
  FROM `momovn-prod.BU_ECOM.DLS_ALL_TRANS_V3_1` 
  WHERE date &gt;= '2024-01-01' and CATE IN ('LOGISTICS','ADS PAYMENT','APPLICATION STORE','MARKETPLACE','GAME','OTT','DIGITAL', 'CONTENT')
  GROUP BY 1
)
select 
  month, 
  filter_users/total_users as users_rate
from users
order by month asc</t>
  </si>
  <si>
    <t xml:space="preserve">  select 
  m.date, 
  n.user_id,
  row_number() over(partition by m.user_id order by m.datetime) as trans_order
  from new_users n join `momovn-prod.BU_ECOM.DLS_ALL_TRANS_V3_1` m
    on n.user_id = m.user_id
    and m.merchant = 'GRAB-ENDUSER'</t>
  </si>
  <si>
    <t xml:space="preserve">with new_users as(
select * from (
select 
*, 
row_number() over(partition by user_id order by datetime) as rk_user 
from `momovn-prod.BU_ECOM.DLS_ALL_TRANS_V3_1`
where MERCHANT = 'GRAB-ENDUSER'
)
where rk_user = 1  and month = '2024-08-01'
)
  select 
  m.date, 
  n.user_id,
  row_number() over(partition by m.user_id order by m.datetime) as trans_order
  from new_users n join `momovn-prod.BU_ECOM.DLS_ALL_TRANS_V3_1` m
    on n.user_id = m.user_id
    and m.merchant = 'GRAB-ENDUSER'
 </t>
  </si>
  <si>
    <t>with new_users as(
select * from (
select 
*, 
row_number() over(partition by user_id order by datetime) as rk_user 
from `momovn-prod.BU_ECOM.DLS_ALL_TRANS_V3_1`
where MERCHANT = 'GRAB'
)
where rk_user = 1  and date &gt;= '2024-08-01'
),
trans as(
  select 
  m.date, 
  n.user_id,
  row_number() over(partition by m.user_id order by m.datetime) as trans_order
  from new_users n join `momovn-prod.BU_ECOM.DLS_ALL_TRANS_V3_1` m
    on n.user_id = m.user_id
    and m.merchant = 'GRAB'
), 
datediff as (
    select t1.user_id, 
    DATE_DIFF(t2.date,t1.date,DAY) AS days_diff,
    from trans t1 join trans t2 on t1.user_id = t2.user_id
    AND t1.trans_order = 1 and t2.trans_order = 2
)
select AVG(days_diff) as avg_diff_days
FROM datediff</t>
  </si>
  <si>
    <t>with monthly_transactions as(
  select 
  month, 
  COUNT(DISTINCT USER_ID) as total_users,
  COUNT(DISTINCT ORDER_ID) as total_trans,
  SUM(GMV) as GMV
  from `momovn-prod.BU_ECOM.DLS_ALL_TRANS_V3_1`
  where CATE IN ('LOGISTICS','ADS PAYMENT','APPLICATION STORE','MARKETPLACE','GAME','OTT','DIGITAL', 'CONTENT')
  and date &gt;= '2024-01-01'
  GROUP BY 1
), 
monthly_trans_token as(
  select
  month, 
  COUNT(DISTINCT USER_ID) as total_token_users,
  COUNT(DISTINCT ORDER_ID) as total_token_trans,
  SUM(GMV) as token_GMV
  from `momovn-prod.BU_ECOM.DLS_ALL_TRANS_V3_1`
  where CATE IN ('LOGISTICS','ADS PAYMENT','APPLICATION STORE','MARKETPLACE','GAME','OTT','DIGITAL', 'CONTENT') and req_type = 'token' 
  and date &gt;= '2024-01-01'
  group by 1
)
  select
  tk.month,
  tk.total_token_users/t.total_users as percent_User,
  tk.total_token_trans/t.total_trans as percent_Trans,
  tk.token_GMV/t.GMV as percent_GMV
  from monthly_transactions t join monthly_trans_token tk on t.month = tk.month</t>
  </si>
  <si>
    <t>with google_users as (
select * 
from `momovn-prod.BU_ECOM.DLS_ALL_TRANS_V3_1`
WHERE CATE = 'ADS PAYMENT' AND SUB_CATE = 'GOOGLE' AND EXTRACT(MONTH from `DATE`) = 1
)
select 
  g.USER_ID,
  m.date,
  m.GMV,
  m.ORDER_ID,
  CASE WHEN m.date between '2024-01-01' and '2024-03-31' THEN 'Q1'
    WHEN m.date between '2024-04-01' and '2024-06-30' THEN 'Q2' END AS Quarter
from google_users g 
  join `momovn-prod.BU_ECOM.DLS_ALL_TRANS_V3_1` m 
  ON g.USER_ID = m.USER_ID
  and m.date &gt;= '2024-01-01'</t>
  </si>
  <si>
    <t>with be_users as (
select distinct user_id
from momovn-prod.BU_ECOM.DLS_ALL_TRANS_V3_1
where DATE_TRUNC(DATE, MONTH) = '2023-09-01'
and merchant = 'BE GROUP'
),
grab_users as (
select distinct user_id
from momovn-prod.BU_ECOM.DLS_ALL_TRANS_V3_1
where DATE_TRUNC(DATE, MONTH) = '2023-09-01'
and merchant = 'GRAB'
),
logistics_mau as (
select distinct user_id
from momovn-prod.BU_ECOM.DLS_ALL_TRANS_V3_1
where month = '2023-09-01'
and cate = 'LOGISTICS'
),
overlap_users as (
select user_id
from be_users
where user_id in (select user_id from grab_users)
)
select
if(count(distinct l.user_id) = 0, 0, count(distinct o.user_id) / count(distinct l.user_id) * 100) as overlap_rate
from
overlap_users o,
logistics_mau l</t>
  </si>
  <si>
    <t xml:space="preserve">
WITH BASE AS
(
SELECT 
  MONTH,
  USER_ID, 
  SUM(GMV) AS GMV
FROM `momovn-prod.BU_ECOM.DLS_ALL_TRANS_V3_1`
WHERE CATE = 'ADS PAYMENT'
AND MONTH BETWEEN '2024-06-01' AND '2024-08-01'
GROUP BY 1,2
), 
CHURN AS 
(
SELECT 
  DISTINCT USER_ID
FROM `momovn-prod.BU_ECOM.DLS_ALL_TRANS_V3_1`
WHERE CATE = 'ADS PAYMENT'
AND MONTH &gt;= '2024-09-01'
)
SELECT
  DISTINCT T1.USER_ID
FROM BASE T1
LEFT JOIN CHURN T2 ON T1.USER_ID = T2.USER_ID
AND T1.GMV &gt; 3000000
AND T2.USER_ID IS NULL</t>
  </si>
  <si>
    <t>WITH
  USER_ACTIVITY AS (
  SELECT
    USER_ID,
    MONTH,
    SUM(NET_REV) AS MONTHLY_REVENUE,
    LEAD(MONTH) OVER (PARTITION BY USER_ID ORDER BY MONTH) AS NEXT_MONTH
  FROM
    `momovn-prod.BU_ECOM.DLS_ALL_TRANS_V3_1`
  WHERE
    MONTH &gt;= '2024-01-01'
    AND CATE = 'APPLICATION STORE'
  GROUP BY 1,2 
),
USER_CHURN AS (
  SELECT
    MONTH,
    COUNT(DISTINCT USER_ID) AS TOTAL_USERS,
    COUNT(DISTINCT CASE WHEN DATE_ADD(month, INTERVAL 1 MONTH) != NEXT_MONTH THEN USER_ID END) AS churned_users
  FROM user_activity
  GROUP BY 1
),
REVENUE_DATA AS (
  SELECT
    MONTH,
    SUM(monthly_revenue) AS total_revenue
  FROM USER_ACTIVITY
  GROUP BY 1
)
SELECT
  uc.MONTH,
  uc.total_users,
  uc.churned_users,
  (uc.churned_users / uc.total_users) AS churn_rate,
  rd.total_revenue AS monthly_revenue,
  rd.total_revenue / uc.total_users AS revenue_per_user
FROM
  user_churn uc
JOIN
  revenue_data rd
ON
  uc.month = rd.month
ORDER BY
  uc.month</t>
  </si>
  <si>
    <t>SELECT COUNT(1) AS t0_qt_fvq43hgskd FROM (SELECT * FROM `momovn-prod.BU_ECOM.DLS_ALL_TRANS_V3_1` WHERE DATE &gt;= PARSE_DATE('%Y%m%d', '20240808') AND DATE &lt;= PARSE_DATE('%Y%m%d', '20240904')) AS t0 LIMIT 2000001;</t>
  </si>
  <si>
    <t xml:space="preserve">WITH base_table AS (
  SELECT
    USER_ID,
    MIN(DATE) AS first_usage_date
  FROM `momovn-prod.BU_ECOM.DLS_ALL_TRANS_V3_1` 
  WHERE DATE &gt;= '2024-08-01' AND CATE = 'APPLICATION STORE'
  GROUP BY
    USER_ID
),
daily_active_users AS (
  SELECT
    DATE,
    COUNT(DISTINCT USER_ID) AS daily_active_users
  FROM `momovn-prod.BU_ECOM.DLS_ALL_TRANS_V3_1` 
  WHERE DATE &gt;= '2024-08-01' AND CATE = 'APPLICATION STORE'
  GROUP BY
    DATE
),
cumulative_retention AS (
  SELECT
    b.first_usage_date,
    d.DATE,
    COUNT(DISTINCT b.USER_ID) AS retained_users
  FROM
    base_table b
  JOIN
     `momovn-prod.BU_ECOM.DLS_ALL_TRANS_V3_1` d
  ON
    b.USER_ID = d.USER_ID
  AND
    d.DATE &gt;= b.first_usage_date
  AND d.DATE &gt;= '2024-08-01' AND d.CATE = 'APPLICATION STORE'
  GROUP BY
    b.first_usage_date,
    d.DATE
),
daily_running_total AS (
  SELECT
    FORMAT_DATE('%Y-%m', d.DATE) AS month,
    d.DATE,
    COUNT(DISTINCT b.USER_ID) AS retained_users,
    SUM(COUNT(DISTINCT b.USER_ID)) OVER (PARTITION BY FORMAT_DATE('%Y-%m', d.DATE) ORDER BY d.DATE) AS cumulative_retained_users
  FROM
    base_table b
  JOIN
     `momovn-prod.BU_ECOM.DLS_ALL_TRANS_V3_1` d
  ON
    b.USER_ID = d.USER_ID
  AND
    d.DATE &gt;= b.first_usage_date
  AND d.DATE &gt;= '2024-08-01' AND d.CATE = 'APPLICATION STORE'
  GROUP BY
    month,
    d.DATE
)
SELECT
  month,
  DATE,
  cumulative_retained_users,
  daily_active_users
FROM
  daily_running_total
JOIN
  daily_active_users
USING (DATE)
ORDER BY
  month,
  DATE;
</t>
  </si>
  <si>
    <t xml:space="preserve">WITH daily_user AS (
    SELECT
        DATE AS day,
        MONTH,
        CATE,
        USER_ID
  FROM `momovn-prod.BU_ECOM.DLS_ALL_TRANS_V3_1` 
  WHERE DATE &gt;= '2024-08-01' AND CATE = 'APPLICATION STORE'
),
retained_users AS (
    SELECT
        cur.day,
        cur.month,
        cur.CATE,
        COUNT(DISTINCT pre.USER_ID) AS returning_users,
        COUNT(DISTINCT cur.USER_ID) AS total_users
    FROM
        daily_user cur
    LEFT JOIN
        daily_user pre ON cur.USER_ID = pre.USER_ID
        AND cur.CATE = pre.CATE
        AND pre.day = DATE_SUB(cur.day, INTERVAL 1 DAY)
    GROUP BY
        1, 2, 3
),
joined_table AS (
    SELECT
        day,
        month,
        CATE,
        returning_users,
        LAG(total_users) OVER (PARTITION BY month ORDER BY day) AS pre_total_users,
        total_users
    FROM
        retained_users
    ORDER BY
        day
)
SELECT
    *,
    SAFE_DIVIDE(returning_users, pre_total_users) AS daily_retention_rate
FROM
    joined_table
ORDER BY
    day;
</t>
  </si>
  <si>
    <t xml:space="preserve">WITH daily_users AS (
SELECT
  MONTH AS cohort_month,
  DATE,
  DATE_DIFF(DATE,MONTH, DAY) AS days_since_month_start,
  ARRAY_AGG(DISTINCT USER_ID) AS user_set
FROM
  `momovn-prod.BU_ECOM.DLS_ALL_TRANS_V3_1` 
  WHERE DATE &gt;= '2024-08-01' AND CATE = 'APPLICATION STORE'
GROUP BY 1,2
),
 cohort_size AS (
  SELECT
    MONTH as cohort_month,
    COUNT(DISTINCT USER_ID) AS total_users
  FROM
  `momovn-prod.BU_ECOM.DLS_ALL_TRANS_V3_1` 
  WHERE DATE &gt;= '2024-08-01' AND CATE = 'APPLICATION STORE'
  GROUP BY
   1
),
daily_retention AS (
  SELECT
    a.cohort_month,
    a.DATE,
    a.days_since_month_start,
    a.user_set AS current_user_set,
    b.user_set AS prev_user_set,
    ARRAY_LENGTH(a.user_set) AS daily_active_users,
    (SELECT COUNT(1) 
     FROM UNNEST(a.user_set) AS user
     WHERE user IN UNNEST(b.user_set)
    ) AS retained_users
  FROM
    daily_users a
  LEFT JOIN
    daily_users b
  ON
    a.cohort_month = b.cohort_month AND
    a.DATE = DATE_ADD(b.DATE, INTERVAL 1 DAY)
),
retention_calc AS (
  SELECT
    dr.*,
    ROUND(SAFE_DIVIDE(dr.retained_users, ARRAY_LENGTH(dr.prev_user_set)) * 100, 2) AS retention_rate,
    SUM(dr.retained_users) OVER (
      PARTITION BY dr.cohort_month
      ORDER BY dr.days_since_month_start
    ) AS cohort_retain_accumulative
  FROM
    daily_retention dr
  WHERE
    dr.days_since_month_start &gt; 0  
)
SELECT
  rc.cohort_month,
  cs.total_users AS cohort_size,
  rc.DATE,
  rc.days_since_month_start,
  rc.daily_active_users,
  rc.retained_users,
  rc.retention_rate,
  rc.cohort_retain_accumulative,
  ROUND(
    SAFE_DIVIDE(
      rc.cohort_retain_accumulative,
      cs.total_users * rc.days_since_month_start
    ) * 100,
    2
  ) AS cumulative_retention_rate
FROM
  retention_calc rc
JOIN
  cohort_size cs ON rc.cohort_month = cs.cohort_month
ORDER BY
  rc.cohort_month,
  rc.days_since_month_start;
</t>
  </si>
  <si>
    <t xml:space="preserve">WITH daily_users AS (
SELECT
  MONTH AS cohort_month,
  DATE,
  DATE_DIFF(DATE,MONTH, DAY) AS days_since_month_start,
  ARRAY_AGG(DISTINCT USER_ID) AS user_set
FROM
  `momovn-prod.BU_ECOM.DLS_ALL_TRANS_V3_1` 
  WHERE DATE &gt;= '2024-08-01' AND CATE = 'APPLICATION STORE'
GROUP BY 1,2
),
 cohort_size AS (
  SELECT
    MONTH as cohort_month,
    COUNT(DISTINCT USER_ID) AS total_users
  FROM
  `momovn-prod.BU_ECOM.DLS_ALL_TRANS_V3_1` 
  WHERE DATE &gt;= '2024-08-01' AND CATE = 'APPLICATION STORE'
  GROUP BY
   1
),
daily_retention AS (
  SELECT
    a.cohort_month,
    a.DATE,
    a.days_since_month_start,
    a.user_set AS current_user_set,
    b.user_set AS prev_user_set,
    ARRAY_LENGTH(a.user_set) AS daily_active_users,
    (SELECT COUNT(1) 
     FROM UNNEST(a.user_set) AS user
     WHERE user IN UNNEST(b.user_set)
    ) AS retained_users
  FROM
    daily_users a
  LEFT JOIN
    daily_users b
  ON
    a.cohort_month = b.cohort_month AND
    a.DATE = DATE_ADD(b.DATE, INTERVAL 1 DAY)
),
retention_calc AS (
  SELECT
    dr.*,
    ROUND(SAFE_DIVIDE(dr.retained_users, ARRAY_LENGTH(dr.prev_user_set)) * 100, 2) AS retention_rate,
    SUM(dr.retained_users) OVER (
      PARTITION BY dr.cohort_month
      ORDER BY dr.days_since_month_start
    ) AS cohort_retain_accumulative
  FROM
    daily_retention dr
  WHERE
    dr.days_since_month_start &gt; 
)
SELECT
  rc.cohort_month,
  cs.total_users AS cohort_size,
  rc.DATE,
  rc.days_since_month_start,
  rc.daily_active_users,
  rc.retained_users,
  rc.retention_rate,
  rc.cohort_retain_accumulative,
  ROUND(
    SAFE_DIVIDE(
      rc.cohort_retain_accumulative,
      cs.total_users * rc.days_since_month_start
    ) * 100,
    2
  ) AS cumulative_retention_rate
FROM
  retention_calc rc
JOIN
  cohort_size cs ON rc.cohort_month = cs.cohort_month
ORDER BY
  rc.cohort_month,
  rc.days_since_month_start;
</t>
  </si>
  <si>
    <t xml:space="preserve">WITH daily_users AS (
SELECT
  MONTH AS cohort_month,
  DATE,
  DATE_DIFF(DATE,MONTH, DAY) AS days_since_month_start,
  ARRAY_AGG(DISTINCT USER_ID) AS user_set
FROM
  `momovn-prod.BU_ECOM.DLS_ALL_TRANS_V3_1` 
  WHERE DATE &gt;= '2024-08-01' AND CATE = 'APPLICATION STORE'
GROUP BY 1,2
),
 cohort_size AS (
  SELECT
    MONTH as cohort_month,
    COUNT(DISTINCT USER_ID) AS total_users
  FROM
  `momovn-prod.BU_ECOM.DLS_ALL_TRANS_V3_1` 
  WHERE DATE &gt;= '2024-08-01' AND CATE = 'APPLICATION STORE'
  GROUP BY
   1
),
daily_retention AS (
  SELECT
    a.cohort_month,
    a.DATE,
    a.days_since_month_start,
    a.user_set AS current_user_set,
    b.user_set AS prev_user_set,
    ARRAY_LENGTH(a.user_set) AS daily_active_users,
    (SELECT COUNT(1) 
     FROM UNNEST(a.user_set) AS user
     WHERE user IN UNNEST(b.user_set)
    ) AS retained_users
  FROM
    daily_users a
  LEFT JOIN
    daily_users b
  ON
    a.cohort_month = b.cohort_month AND
    a.DATE = DATE_ADD(b.DATE, INTERVAL 1 DAY)
),
retention_calc AS (
  SELECT
    dr.*,
    ROUND(SAFE_DIVIDE(dr.retained_users, ARRAY_LENGTH(dr.prev_user_set)) * 100, 2) AS retention_rate,
    SUM(dr.retained_users) OVER (
      PARTITION BY dr.cohort_month
      ORDER BY dr.days_since_month_start
    ) AS cohort_retain_accumulative
  FROM
    daily_retention dr
  WHERE
    dr.days_since_month_start &gt; 0  -- Exclude the first day of each month
)
SELECT
  rc.cohort_month,
  cs.total_users AS cohort_size,
  rc.DATE,
  rc.days_since_month_start,
  rc.daily_active_users,
  rc.retained_users,
  rc.retention_rate,
  rc.cohort_retain_accumulative,
  ROUND(
    SAFE_DIVIDE(
      rc.cohort_retain_accumulative,
      cs.total_users * rc.days_since_month_start
    ) * 100,
    2
  ) AS cumulative_retention_rate
FROM
  retention_calc rc
JOIN
  cohort_size cs ON rc.cohort_month = cs.cohort_month
ORDER BY
  rc.cohort_month,
  rc.days_since_month_start;
</t>
  </si>
  <si>
    <t>WITH monthly_cohorts AS (
  SELECT
    MONTH AS cohort_month,
    USER_ID
  FROM
    `momovn-prod.BU_ECOM.DLS_ALL_TRANS_V3_1` 
  WHERE DATE &gt;= '2024-08-01' AND CATE = 'APPLICATION STORE'
  GROUP BY
    1,2
),
cohort_size AS (
  SELECT
    cohort_month,
    COUNT(DISTINCT USER_ID) AS total_users
  FROM
    monthly_cohorts
  GROUP BY
    cohort_month
),
daily_retention AS (
  SELECT
    DATE_TRUNC(t.DATE, MONTH) AS cohort_month,
    t.DATE,
    COUNT(DISTINCT t.USER_ID) AS retained_users,
    DATE_DIFF(t.DATE, DATE_TRUNC(t.DATE, MONTH), DAY) AS days_since_month_start
  FROM
    `momovn-prod.BU_ECOM.DLS_ALL_TRANS_V3_1`  t
  JOIN
    monthly_cohorts mc ON DATE_TRUNC(t.DATE, MONTH) = mc.cohort_month AND t.USER_ID = mc.USER_ID
    AND t.DATE &gt;= '2024-08-01' AND t.CATE = 'APPLICATION STORE'
  GROUP BY
    cohort_month,
    t.DATE
)
SELECT
  cs.cohort_month,
  cs.total_users AS cohort_size,
  dr.DATE,
  dr.days_since_month_start,
  dr.retained_users,
  ROUND(dr.retained_users / cs.total_users * 100, 2) AS retention_rate,
  SUM(dr.retained_users) OVER (
    PARTITION BY cs.cohort_month
    ORDER BY dr.days_since_month_start
  ) AS cohort_retain_accumulative,
  ROUND(
    SUM(dr.retained_users) OVER (
      PARTITION BY cs.cohort_month
      ORDER BY dr.days_since_month_start
    ) / (cs.total_users * (dr.days_since_month_start + 1)) * 100,
    2
  ) AS cumulative_retention_rate
FROM
  cohort_size cs
JOIN
  daily_retention dr ON cs.cohort_month = dr.cohort_month
ORDER BY
  cs.cohort_month,
  dr.days_since_month_start</t>
  </si>
  <si>
    <t>WITH user_activity AS (
  SELECT
    user_id,
    MIN(DATE) AS first_activity_date,
    DATE AS activity_date
  FROM `momovn-prod.BU_ECOM.DLS_ALL_TRANS_V3_1` 
  WHERE DATE &gt;= '2024-06-01' AND CATE = 'APPLICATION STORE'
  GROUP BY 1,3
),
monthly_cohorts AS (
  SELECT
    user_id,
    DATE_TRUNC(first_activity_date, MONTH) AS cohort_month,
    activity_date
  FROM user_activity
),
cohort_size AS (
  SELECT
    cohort_month,
    COUNT(DISTINCT user_id) AS total_users
  FROM monthly_cohorts
  GROUP BY cohort_month
),
daily_active_users AS (
  SELECT
    cohort_month,
    activity_date,
    COUNT(DISTINCT user_id) AS active_users
  FROM monthly_cohorts
  GROUP BY cohort_month, activity_date
),
retain_user as (
  SELECT
    cohort_month, 
    activity_date, 
    CASE 
      WHEN EXTRACT(DAY FROM activity_date) = 1 THEN 0 
    ELSE
    SUM(returning_user) OVER( PARTITION BY cohort_month ORDER BY activity_date) END AS cumulative_retain 
  FROM (
  SELECT
    m1.cohort_month,
    m1.activity_date,
    COUNT(DISTINCT m2.user_id) as returning_user
  FROM monthly_cohorts m1
  LEFT JOIN monthly_cohorts m2
    ON m1.user_id = m2.user_id
    AND m2.activity_date = DATE_SUB(m1.activity_date, INTERVAL 1 DAY)
  GROUP BY 1,2
  )
)
-- running_total AS (
--   SELECT
--     cohort_month,
--     activity_date,
--     active_users,
--     SUM(active_users) OVER (
--       PARTITION BY cohort_month
--       ORDER BY activity_date
--       ROWS BETWEEN UNBOUNDED PRECEDING AND CURRENT ROW
--     ) AS cumulative_active_users
--   FROM daily_active_users
-- )
SELECT
  r.cohort_month,
  r.activity_date,
  DATE_DIFF(r.activity_date, r.cohort_month, DAY) + 1 AS day_number,
  r.active_users,
  -- r.cumulative_active_users,
  ru.cumulative_retain,
  c.total_users AS cohort_size,
  -- ROUND(r.cumulative_active_users / c.total_users, 4) AS cumulative_retention_rate
  SAFE_DIVIDE(ru.cumulative_retain,c.total_users) as cumulative_retention_rate
-- FROM running_total r
FROM daily_active_users r
JOIN cohort_size c ON r.cohort_month = c.cohort_month
JOIN retain_user ru ON ru.cohort_month = r.cohort_month 
AND ru.activity_date = r.activity_date
WHERE r.activity_date &gt;= r.cohort_month
  AND r.activity_date &lt; DATE_ADD(r.cohort_month, INTERVAL 1 MONTH)
ORDER BY r.cohort_month, r.activity_date</t>
  </si>
  <si>
    <t>WITH user_activity AS (
  SELECT
    user_id,
    MIN(DATE) AS first_activity_date,
    DATE AS activity_date
  FROM `momovn-prod.BU_ECOM.DLS_ALL_TRANS_V3_1` 
  WHERE DATE &gt;= '2024-06-01' AND CATE = 'APPLICATION STORE'
  GROUP BY 1,3
),
monthly_cohorts AS (
  SELECT
    user_id,
    DATE_TRUNC(first_activity_date, MONTH) AS cohort_month,
    activity_date
  FROM user_activity
),
cohort_size AS (
  SELECT
    cohort_month,
    COUNT(DISTINCT user_id) AS total_users
  FROM monthly_cohorts
  GROUP BY cohort_month
),
daily_active_users AS (
  SELECT
    cohort_month,
    activity_date,
    COUNT(DISTINCT user_id) AS active_users
  FROM monthly_cohorts
  GROUP BY cohort_month, activity_date
),
retain_user as (
  SELECT
    cohort_month, 
    activity_date, 
    CASE 
      WHEN EXTRACT(DAY FROM activity_date) = 1 THEN 0 
    ELSE
    SUM(returning_user) OVER( PARTITION BY cohort_month ORDER BY activity_date) END AS cumulative_retain 
  FROM (
  SELECT
    m1.cohort_month,
    m1.activity_date,
    COUNT(DISTINCT m2.user_id) as returning_user
  FROM monthly_cohorts m1
  LEFT JOIN monthly_cohorts m2
    ON m1.user_id = m2.user_id
    AND m2.activity_date = DATE_SUB(m1.activity_date, INTERVAL 1 DAY)
  GROUP BY 1,2
  )
)
-- running_total AS (
--   SELECT
--     cohort_month,
--     activity_date,
--     active_users,
--     SUM(active_users) OVER (
--       PARTITION BY cohort_month
--       ORDER BY activity_date
--       ROWS BETWEEN UNBOUNDED PRECEDING AND CURRENT ROW
--     ) AS cumulative_active_users
--   FROM daily_active_users
-- )
SELECT
  r.cohort_month,
  r.activity_date,
  DATE_DIFF(r.activity_date, r.cohort_month, DAY) + 1 AS day_number,
  r.active_users,
  -- r.cumulative_active_users,
  ru.cumulative_retain,
  c.total_users AS cohort_size,
  -- ROUND(r.cumulative_active_users / c.total_users, 4) AS cumulative_retention_rate
  SAFE_DIVIDE(ru.cumulative_retain,c.total_users) as cumulative_retention
-- FROM running_total r
FROM daily_active_users r
JOIN cohort_size c ON r.cohort_month = c.cohort_month
JOIN retain_user ru ON ru.cohort_month = r.cohort_month 
AND ru.activity_date = r.activity_date
WHERE r.activity_date &gt;= r.cohort_month
  AND r.activity_date &lt; DATE_ADD(r.cohort_month, INTERVAL 1 MONTH)
ORDER BY r.cohort_month, r.activity_date</t>
  </si>
  <si>
    <t>WITH user_activity AS (
  SELECT
    user_id,
    MIN(DATE) AS first_activity_date,
    DATE AS activity_date
  FROM `momovn-prod.BU_ECOM.DLS_ALL_TRANS_V3_1` 
  WHERE DATE &gt;= '2024-08-01' AND CATE = 'APPLICATION STORE'
  GROUP BY 1,3
),
monthly_cohorts AS (
  SELECT
    user_id,
    DATE_TRUNC(first_activity_date, MONTH) AS cohort_month,
    activity_date
  FROM user_activity
),
cohort_size AS (
  SELECT
    cohort_month,
    COUNT(DISTINCT user_id) AS total_users
  FROM monthly_cohorts
  GROUP BY cohort_month
),
daily_active_users AS (
  SELECT
    cohort_month,
    activity_date,
    COUNT(DISTINCT user_id) AS active_users
  FROM monthly_cohorts
  GROUP BY cohort_month, activity_date
),
retain_user as (
  SELECT
    cohort_month, 
    activity_date, 
    CASE 
      WHEN EXTRACT(DAY FROM activity_date) = 1 THEN 0 
    ELSE
    SUM(returning_user) OVER( PARTITION BY cohort_month ORDER BY activity_date) END AS cumulative_retain 
  FROM (
  SELECT
    m1.cohort_month,
    m1.activity_date,
    COUNT(DISTINCT m2.user_id) as returning_user
  FROM monthly_cohorts m1
  LEFT JOIN monthly_cohorts m2
    ON m1.user_id = m2.user_id
    AND m2.activity_date = DATE_SUB(m1.activity_date, INTERVAL 1 DAY)
  GROUP BY 1,2
  )
)
-- running_total AS (
--   SELECT
--     cohort_month,
--     activity_date,
--     active_users,
--     SUM(active_users) OVER (
--       PARTITION BY cohort_month
--       ORDER BY activity_date
--       ROWS BETWEEN UNBOUNDED PRECEDING AND CURRENT ROW
--     ) AS cumulative_active_users
--   FROM daily_active_users
-- )
SELECT
  r.cohort_month,
  r.activity_date,
  DATE_DIFF(r.activity_date, r.cohort_month, DAY) + 1 AS day_number,
  r.active_users,
  -- r.cumulative_active_users,
  ru.cumulative_retain,
  c.total_users AS cohort_size,
  -- ROUND(r.cumulative_active_users / c.total_users, 4) AS cumulative_retention_rate
  SAFE_DIVIDE(ru.cumulative_retain,c.total_users) as cumulative_retention
-- FROM running_total r
FROM daily_active_users r
JOIN cohort_size c ON r.cohort_month = c.cohort_month
JOIN retain_user ru ON ru.cohort_month = r.cohort_month 
AND ru.activity_date = r.activity_date
WHERE r.activity_date &gt;= r.cohort_month
  AND r.activity_date &lt; DATE_ADD(r.cohort_month, INTERVAL 1 MONTH)
ORDER BY r.cohort_month, r.activity_date</t>
  </si>
  <si>
    <t>WITH user_activity AS (
  SELECT
    user_id,
    MIN(DATE) AS first_activity_date,
    DATE AS activity_date
  FROM `momovn-prod.BU_ECOM.DLS_ALL_TRANS_V3_1` 
  WHERE DATE &gt;= '2024-08-01' AND CATE = 'APPLICATION STORE'
  GROUP BY 1,3
),
monthly_cohorts AS (
  SELECT
    user_id,
    DATE_TRUNC(first_activity_date, MONTH) AS cohort_month,
    activity_date
  FROM user_activity
),
cohort_size AS (
  SELECT
    cohort_month,
    COUNT(DISTINCT user_id) AS total_users
  FROM monthly_cohorts
  GROUP BY cohort_month
),
daily_active_users AS (
  SELECT
    cohort_month,
    activity_date,
    COUNT(DISTINCT user_id) AS active_users
  FROM monthly_cohorts
  GROUP BY cohort_month, activity_date
),
retain_user as (
  SELECT
    cohort_month, 
    activity_date, 
    SUM(returning_user) OVER( PARTITION BY cohort_month ORDER BY activity_date) as cumulative_retain 
  FROM (
  SELECT
    m1.cohort_month,
    m1.activity_date,
    COUNT(DISTINCT m2.user_id) as returning_user
  FROM monthly_cohorts m1
  LEFT JOIN monthly_cohorts m2
    ON m1.user_id = m2.user_id
    AND m2.activity_date = DATE_SUB(m1.activity_date, INTERVAL 1 DAY)
  GROUP BY 1,2
  )
),
running_total AS (
  SELECT
    cohort_month,
    activity_date,
    active_users,
    SUM(active_users) OVER (
      PARTITION BY cohort_month
      ORDER BY activity_date
      ROWS BETWEEN UNBOUNDED PRECEDING AND CURRENT ROW
    ) AS cumulative_active_users
  FROM daily_active_users
)
SELECT
  r.cohort_month,
  r.activity_date,
  DATE_DIFF(r.activity_date, r.cohort_month, DAY) + 1 AS day_number,
  r.active_users,
  r.cumulative_active_users,
  ru.cumulative_retain,
  c.total_users AS cohort_size,
  ROUND(r.cumulative_active_users / c.total_users, 4) AS cumulative_retention_rate
FROM running_total r
JOIN cohort_size c ON r.cohort_month = c.cohort_month
JOIN retain_user ru ON ru.cohort_month = r.cohort_month 
AND ru.activity_date = r.activity_date
WHERE r.activity_date &gt;= r.cohort_month
  AND r.activity_date &lt; DATE_ADD(r.cohort_month, INTERVAL 1 MONTH)
ORDER BY r.cohort_month, r.activity_date</t>
  </si>
  <si>
    <t>WITH user_activity AS (
  SELECT
    user_id,
    MIN(DATE) AS first_activity_date,
    DATE AS activity_date
  FROM `momovn-prod.BU_ECOM.DLS_ALL_TRANS_V3_1` 
  WHERE DATE &gt;= '2024-08-01' AND CATE = 'APPLICATION STORE'
  GROUP BY 1,3
),
monthly_cohorts AS (
  SELECT
    user_id,
    DATE_TRUNC(first_activity_date, MONTH) AS cohort_month,
    activity_date
  FROM user_activity
),
cohort_size AS (
  SELECT
    cohort_month,
    COUNT(DISTINCT user_id) AS total_users
  FROM monthly_cohorts
  GROUP BY cohort_month
),
daily_active_users AS (
  SELECT
    cohort_month,
    activity_date,
    COUNT(DISTINCT user_id) AS active_users
  FROM monthly_cohorts
  GROUP BY cohort_month, activity_date
),
running_total AS (
  SELECT
    cohort_month,
    activity_date,
    active_users,
    SUM(active_users) OVER (
      PARTITION BY cohort_month
      ORDER BY activity_date
      ROWS BETWEEN UNBOUNDED PRECEDING AND CURRENT ROW
    ) AS cumulative_active_users
  FROM daily_active_users
)
SELECT
  r.cohort_month,
  r.activity_date,
  DATE_DIFF(r.activity_date, r.cohort_month, DAY) + 1 AS day_number,
  r.active_users,
  r.cumulative_active_users,
  c.total_users AS cohort_size,
  ROUND(r.cumulative_active_users / c.total_users, 4) AS cumulative_retention_rate
FROM running_total r
JOIN cohort_size c ON r.cohort_month = c.cohort_month
WHERE r.activity_date &gt;= r.cohort_month
  AND r.activity_date &lt; DATE_ADD(r.cohort_month, INTERVAL 1 MONTH)
ORDER BY r.cohort_month, r.activity_date</t>
  </si>
  <si>
    <t>WITH user_activity AS (
  SELECT
    user_id,
    MIN(DATE) AS first_activity_date,
    DATE AS activity_date
  FROM `momovn-prod.BU_ECOM.DLS_ALL_TRANS_V3_1` 
  WHERE DATE &gt;= '2024-08-01' AND CATE = 'APPLICATION STORE'
  GROUP BY 1,3
),
monthly_cohorts AS (
  SELECT
    user_id,
    DATE_TRUNC(first_activity_date, MONTH) AS cohort_month,
    activity_date
  FROM user_activity
),
cohort_size AS (
  SELECT
    cohort_month,
    COUNT(DISTINCT user_id) AS total_users
  FROM monthly_cohorts
  GROUP BY cohort_month
),
daily_active_users AS (
  SELECT
    cohort_month,
    activity_date,
    COUNT(DISTINCT user_id) AS active_users
  FROM monthly_cohorts
  GROUP BY cohort_month, activity_date
),
retain_user as (
  SELECT
    cohort_month, 
    activity_date, 
    SUM(returning_user) OVER( PARTITION BY cohort_month ORDER BY activity_date) as cumulative_retain 
  FROM (
  SELECT
    m1.cohort_month,
    m1.activity_date,
    COUNT(DISTINCT m2.user_id) as returning_user
  FROM monthly_cohorts m1
  LEFT JOIN monthly_cohorts m2
    ON m1.user_id = m2.user_id
    AND m2.activity_date = DATE_SUB(m1.activity_date, INTERVAL 1 DAY)
  GROUP BY 1,2
  )
)
-- running_total AS (
--   SELECT
--     cohort_month,
--     activity_date,
--     active_users,
--     SUM(active_users) OVER (
--       PARTITION BY cohort_month
--       ORDER BY activity_date
--       ROWS BETWEEN UNBOUNDED PRECEDING AND CURRENT ROW
--     ) AS cumulative_active_users
--   FROM daily_active_users
-- )
SELECT
  r.cohort_month,
  r.activity_date,
  DATE_DIFF(r.activity_date, r.cohort_month, DAY) + 1 AS day_number,
  r.active_users,
  -- r.cumulative_active_users,
  ru.cumulative_retain,
  c.total_users AS cohort_size,
  -- ROUND(r.cumulative_active_users / c.total_users, 4) AS cumulative_retention_rate
  SAFE_DIVIDE(ru.cumulative_retain,c.total_users) as cumulative_retention
-- FROM running_total r
FROM daily_active_users r
JOIN cohort_size c ON r.cohort_month = c.cohort_month
JOIN retain_user ru ON ru.cohort_month = r.cohort_month 
AND ru.activity_date = r.activity_date
WHERE r.activity_date &gt;= r.cohort_month
  AND r.activity_date &lt; DATE_ADD(r.cohort_month, INTERVAL 1 MONTH)
ORDER BY r.cohort_month, r.activity_date</t>
  </si>
  <si>
    <t>WITH user_cohorts AS (
  SELECT
    user_id,
    MIN(DATE) AS cohort_date,
    DATE AS activity_date
  FROM `momovn-prod.BU_ECOM.DLS_ALL_TRANS_V3_1` 
  WHERE DATE &gt;= '2024-08-01' AND CATE = 'APPLICATION STORE'
  GROUP BY 1,3
),
cohort_size AS (
  SELECT
    cohort_date,
    COUNT(DISTINCT user_id) AS users
  FROM user_cohorts
  GROUP BY cohort_date
),
retention AS (
  SELECT
    c.cohort_date,
    a.activity_date,
    COUNT(DISTINCT a.user_id) AS retained_users
  FROM user_cohorts c
  JOIN user_cohorts a ON c.user_id = a.user_id AND a.activity_date &gt;= c.cohort_date
  GROUP BY c.cohort_date, a.activity_date
)
SELECT
  FORMAT_DATE('%Y-%m', r.cohort_date) AS cohort_month,
  DATE_DIFF(r.activity_date, r.cohort_date, DAY) AS day,
  r.cohort_date,
  r.activity_date,
  r.retained_users,
  cs.users AS cohort_size,
  r.retained_users / cs.users AS retention_rate
FROM retention r
JOIN cohort_size cs ON r.cohort_date = cs.cohort_date
ORDER BY r.cohort_date, r.activity_date</t>
  </si>
  <si>
    <t>WITH user_cohorts AS (
  SELECT
    user_id,
    MIN(DATE) AS cohort_date,
    DATE AS activity_date
  FROM `momovn-prod.BU_ECOM.DLS_ALL_TRANS_V3_1` 
  WHERE DATE &gt;= '2024-08-01' AND CATE = 'APPLICATION STORE'
  GROUP BY 1,3
),
cohort_size AS (
  SELECT
    cohort_date,
    COUNT(DISTINCT user_id) AS users
  FROM user_cohorts
  GROUP BY cohort_date
),
retention AS (
  SELECT
    c.cohort_date,
    a.activity_date,
    COUNT(DISTINCT a.user_id) AS retained_users
  FROM user_cohorts c
  JOIN user_cohorts a ON c.user_id = a.user_id AND a.activity_date &gt;= c.cohort_date
  GROUP BY c.cohort_date, a.activity_date
)
SELECT
  FORMAT_DATE('%Y-%m', r.cohort_date) AS cohort_month,
  DATE_DIFF(r.activity_date, r.cohort_date, DAY) AS day,
  r.activity_date,
  r.retained_users,
  cs.users AS cohort_size,
  r.retained_users / cs.users AS retention_rate
FROM retention r
JOIN cohort_size cs ON r.cohort_date = cs.cohort_date
ORDER BY r.cohort_date, r.activity_date</t>
  </si>
  <si>
    <t>WITH user_first_appearance AS (
  SELECT
    USER_ID,
    MIN(DATE) AS first_date
  FROM
    `momovn-prod.BU_ECOM.DLS_ALL_TRANS_V3_1` 
  WHERE DATE &gt;= '2024-08-01' AND CATE = 'APPLICATION STORE'
  GROUP BY
   1
),
daily_active_users AS (
  SELECT
    DATE,
    COUNT(DISTINCT USER_ID) AS active_users
  FROM
    `momovn-prod.BU_ECOM.DLS_ALL_TRANS_V3_1` 
  WHERE DATE &gt;= '2024-08-01' AND CATE = 'APPLICATION STORE'
  GROUP BY
    DATE
),
retention_by_day AS (
  SELECT
    t.DATE,
    DATE_TRUNC(ufa.first_date, MONTH) AS cohort_month,
    COUNT(DISTINCT t.USER_ID) AS retained_users,
    DATE_DIFF(t.DATE, DATE_TRUNC(ufa.first_date, MONTH), DAY) AS days_since_first_day_of_month
  FROM
   `momovn-prod.BU_ECOM.DLS_ALL_TRANS_V3_1` t
  JOIN
    user_first_appearance ufa ON t.USER_ID = ufa.USER_ID
  GROUP BY 1,2,4
),
cohort_size AS (
  SELECT
    DATE_TRUNC(first_date, MONTH) AS cohort_month,
    COUNT(DISTINCT USER_ID) AS total_users
  FROM
    user_first_appearance
  GROUP BY
    cohort_month
)
SELECT
  r.cohort_month,
  r.DATE,
  r.days_since_first_day_of_month,
  r.retained_users,
  c.total_users,
  ROUND(r.retained_users / c.total_users * 100, 2) AS retention_rate,
  ROUND(AVG(r.retained_users / c.total_users) OVER (
    PARTITION BY r.cohort_month
    ORDER BY r.days_since_first_day_of_month
  ) * 100, 2) AS cumulative_retention_rate
FROM
  retention_by_day r
JOIN
  cohort_size c ON r.cohort_month = c.cohort_month
ORDER BY
  r.cohort_month,
  r.days_since_first_day_of_month</t>
  </si>
  <si>
    <t xml:space="preserve">with base as (
  SELECT DISTINCT
    DATE,
    MONTH , 
    USER_ID
  FROM `momovn-prod.BU_ECOM.DLS_ALL_TRANS_V3_1` 
  WHERE DATE &gt;= '2024-08-01'AND CATE = 'APPLICATION STORE'
)
  SELECT DISTINCT
    b1.DATE,
    b1.MONTH,
    DATE_ADD(b1.MONTH, INTERVAL 1 MONTH) AS RETAIN_MONTH, 
    b1.USER_ID
  FROM base b1
  LEFT JOIN base b2 
    ON b1.USER_ID = b2.USER_ID
    AND b1.MONTH = DATE_SUB(B2.MONTH, INTERVAL 1 MONTH) </t>
  </si>
  <si>
    <t xml:space="preserve">with base as (
  SELECT DISTINCT
    DATE,
    MONTH, 
    USER_ID
  FROM `momovn-prod.BU_ECOM.DLS_ALL_TRANS_V3_1` 
  WHERE DATE &gt;= '2024-08-01'AND CATE = 'APPLICATION STORE'
)
  SELECT DISTINCT
    b1.DATE,
    b2.DATE,
    b1.MONTH,
    b2.MONTH, 
    DATE_ADD(b1.MONTH, INTERVAL 1 MONTH) AS RETAIN_MONTH, 
    b1.USER_ID
  FROM base b1
  LEFT JOIN base b2 
    ON b1.USER_ID = b2.USER_ID
    AND b1.MONTH = DATE_SUB(B2.MONTH, INTERVAL 1 MONTH) </t>
  </si>
  <si>
    <t xml:space="preserve">with base as (
  SELECT DISTINCT
    DATE,
    MONTH, 
    USER_ID
  FROM `momovn-prod.BU_ECOM.DLS_ALL_TRANS_V3_1` 
  WHERE DATE &gt;= '2024-08-01'AND CATE = 'APPLICATION STORE'
),
user_count_base AS(
  SELECT MONTH,
  COUNT(DISTINCT USER_ID) as cohort_size
  FROM base
  GROUP BY 1
),
retain_users AS(
  SELECT DISTINCT
    b1.DATE,
    b2.DATE as retain_date,
    b1.MONTH,
    b2.MONTH, 
    DATE_ADD(b1.MONTH, INTERVAL 1 MONTH) AS RETAIN_MONTH, 
    b1.USER_ID
  FROM base b1
  LEFT JOIN base b2 
    ON b1.USER_ID = b2.USER_ID
    AND b1.MONTH = DATE_SUB(B2.MONTH, INTERVAL 1 MONTH) 
),
total_user_retain AS(
SELECT 
  retain_month, 
  retain_date,
  COUNT(DISTINCT USER_ID) as total_user
FROM retain_users
GROUP BY 1,2
)
  SELECT 
    t2.MONTH as ACTIVE_MONTH, 
    t1.retain_month as RETAIN_MONTH, 
    t1.retain_date as DAYS,
    t1.total_user as total, 
    t2.cohort_size as cohort_size
  FROM total_user_retain t1
  JOIN user_count_base t2
    ON t2.month = DATE_SUB(t1.retain_month, INTERVAL 1 MONTH) 
</t>
  </si>
  <si>
    <t xml:space="preserve">with base as (
  SELECT DISTINCT
    MONTH, 
    USER_ID
  FROM `momovn-prod.BU_ECOM.DLS_ALL_TRANS_V3_1` 
  WHERE DATE &gt;= '2024-08-01'AND CATE = 'APPLICATION STORE'
)
  SELECT DISTINCT
    b1.MONTH,
    b2.MONTH, 
    DATE_ADD(b1.MONTH, INTERVAL 1 MONTH) AS RETAIN_MONTH, 
    b1.USER_ID
  FROM base b1
  LEFT JOIN base b2 
    ON b1.USER_ID = b2.USER_ID
    AND b1.MONTH = DATE_SUB(B2.MONTH, INTERVAL 1 MONTH)
</t>
  </si>
  <si>
    <t>with monthly_user as (
    SELECT
    month,
    CATE,
    USER_ID
  FROM
  `momovn-prod.BU_ECOM.DLS_ALL_TRANS_V3_1`  
  WHERE date &gt;= '2024-08-01' and CATE IN ('LOGISTICS')
),
retained_users as(
  SELECT 
    cur.month,
    cur.CATE,
    COUNT(DISTINCT pre.user_id) as returning_users,
    COUNT(DISTINCT cur.user_id) as total_users
  FROM monthly_user cur
  LEFT JOIN monthly_user pre ON cur.user_id = pre.user_id
                          and cur.cate = pre.cate
                          and pre.month = DATE_SUB(cur.month, INTERVAL 1 MONTH)
  GROUP BY 1,2
),
joined_table as(
  select
    month,
    cate,
    returning_users,
    LAG(total_users) over(order by month) as pre_total_users,
    total_users
  FROM retained_users 
  ORDER BY 1
)
SELECT 
*,
SAFE_DIVIDE(returning_users,pre_total_users)
FROM joined_table
ORDER BY 1</t>
  </si>
  <si>
    <t xml:space="preserve">
--- MERCHANT 
 SELECT 
    EXTRACT(YEAR FROM MONTH) AS YEAR, 
    COUNT(DISTINCT IF(MERCHANT = 'TIKTOK',USER_ID,NULL)) AS MAU_TIKTOK_SHOP,
    COUNT(DISTINCT IF(MERCHANT = 'LAZADA',USER_ID,NULL)) AS MAU_LAZADA,
    COUNT(DISTINCT IF(MERCHANT LIKE '%GRAB%',USER_ID,NULL)) AS MAU_GRAB,
    COUNT(DISTINCT IF(MERCHANT = 'BE GROUP',USER_ID,NULL)) AS MAU_BE_GROUP,
    COUNT(DISTINCT IF(MERCHANT = 'GSM',USER_ID,NULL)) AS MAU_GSM,
    COUNT(DISTINCT IF(MERCHANT LIKE '%FUNTEK%',USER_ID,NULL)) AS MAU_GAME_CARD,
    COUNT(DISTINCT IF(CATE = 'GAME' AND MERCHANT NOT LIKE '%FUNTEK%',USER_ID,NULL)) AS MAU_GAME_PAYMENT,
    COUNT(DISTINCT IF(MERCHANT = 'GOOGLE' AND CATE = 'APPLICATION STORE',USER_ID,NULL)) AS MAU_GOOGLE,
    COUNT(DISTINCT IF(MERCHANT = 'APPLE' ,USER_ID,NULL)) AS MAU_APPLE,
    COUNT(DISTINCT IF(MERCHANT = 'VIETLOTT SMS' ,USER_ID,NULL)) AS MAU_VIETLOTT_SMS
  FROM `momovn-prod.BU_ECOM.DLS_ALL_TRANS_V3_1`
  WHERE MONTH &gt;= '2023-01-01'
  GROUP BY 1
  ORDER BY 1</t>
  </si>
  <si>
    <t>SELECT 
    DATE AS transaction_date, 
    COUNT(DISTINCT USER_ID) AS active_users
FROM 
    `momovn-prod.BU_ECOM.DLS_ALL_TRANS_V3_1`
WHERE 
    DATE BETWEEN '2024-11-01' AND '2024-11-07'
    AND MERCHANT = 'TICKETBOX'
GROUP BY 
    DATE
ORDER BY 
    DATE
LIMIT 25;</t>
  </si>
  <si>
    <t>SELECT 
    DATE AS transaction_date, 
    COUNT(DISTINCT USER_ID) AS active_users
FROM 
    `momovn-prod.BU_ECOM.DLS_ALL_TRANS_V3_1`
WHERE 
    DATE BETWEEN '2024-11-01' AND '2024-11-07'
    AND MERCHANT = 'TICKET BOX'
GROUP BY 
    DATE
ORDER BY 
    DATE
LIMIT 25;</t>
  </si>
  <si>
    <t>SELECT
distinct merchant, count(*)
FROM
momovn-prod.BU_ECOM.DLS_ALL_TRANS_V3_1
WHERE
1=1
AND DATE = '2024-11-02'
AND lower(merchant) like '%tiki%'
GROUP BY 1
ORDER BY 2 desc
-- AND MERCHANT = 'TICKET BOX'
-- GROUP BY
-- DATE
-- ORDER BY
-- DATE
-- LIMIT 25;</t>
  </si>
  <si>
    <t>loan.doan@mservice.com.vn</t>
  </si>
  <si>
    <t>SELECT
distinct merchant, count(*)
FROM
momovn-prod.BU_ECOM.DLS_ALL_TRANS_V3_1
WHERE
1=1
AND DATE = '2024-11-02'
-- AND lower(merchant) like '%tick%'
GROUP BY 1
ORDER BY 2 desc
-- AND MERCHANT = 'TICKET BOX'
-- GROUP BY
-- DATE
-- ORDER BY
-- DATE
-- LIMIT 25;</t>
  </si>
  <si>
    <t>SELECT
distinct merchant, count(*)
FROM
momovn-prod.BU_ECOM.DLS_ALL_TRANS_V3_1
WHERE
1=1
AND DATE = '2024-11-07'
-- AND lower(merchant) like '%tick%'
GROUP BY 1
ORDER BY 2 desc
-- AND MERCHANT = 'TICKET BOX'
-- GROUP BY
-- DATE
-- ORDER BY
-- DATE
-- LIMIT 25;</t>
  </si>
  <si>
    <t>SELECT
distinct merchant, count(*)
FROM
momovn-prod.BU_ECOM.DLS_ALL_TRANS_V3_1
WHERE
1=1
AND DATE BETWEEN '2024-11-01' AND '2024-11-07'
AND lower(merchant) like '%tick%'
GROUP BY 1
ORDER BY 2 desc
-- AND MERCHANT = 'TICKET BOX'
-- GROUP BY
-- DATE
-- ORDER BY
-- DATE
-- LIMIT 25;</t>
  </si>
  <si>
    <t>SELECT 
  CATE, 
  SUM(GMV) AS TOTAL_GMV
FROM `momovn-prod.BU_ECOM.DLS_ALL_TRANS_V3_1`
WHERE MONTH = '2024-10-01'
GROUP BY 1</t>
  </si>
  <si>
    <t>SELECT 
  USER_ID,
  COUNT(DISTINCT MONTH) AS months_active,
  CASE
    WHEN SUM(GMV) &gt; 50000000 THEN '1. Heavy'
    WHEN SUM(GMV) &gt; 3000000 AND SUM(GMV) &lt;= 50000000 THEN '2. Medium'
    ELSE '3. Light'
  END AS USER_SEGMENT
FROM 
  `momovn-prod.BU_ECOM.DLS_ALL_TRANS_V3_1`
WHERE 
  CATE = 'APPLICATION STORE'
  AND EXTRACT(YEAR FROM DATE) = 2024
GROUP BY 
  USER_ID
ORDER BY 
  months_active DESC
LIMIT 25;</t>
  </si>
  <si>
    <t>SELECT 
  CATE, 
  SUM(GMV) / COUNT(DISTINCT USER_ID) AS TOTAL_GMV
FROM `momovn-prod.BU_ECOM.DLS_ALL_TRANS_V3_1`
WHERE MONTH = '2024-10-01'
GROUP BY 1</t>
  </si>
  <si>
    <t>WITH monthly_retention AS (
  SELECT 
    EXTRACT(MONTH FROM DATE) AS month,
    USER_ID,
    COUNT(DISTINCT DATE) AS active_days
  FROM 
    `momovn-prod.BU_ECOM.DLS_ALL_TRANS_V3_1`
  WHERE 
    EXTRACT(YEAR FROM DATE) = 2024
  GROUP BY 
    month, USER_ID
),
retention AS (
  SELECT 
    month,
    COUNT(DISTINCT USER_ID) AS active_users
  FROM 
    monthly_retention
  GROUP BY 
    month
)
SELECT 
  month,
  active_users,
  LAG(active_users) OVER (ORDER BY month) AS last_month_active_users,
  (active_users - LAG(active_users) OVER (ORDER BY month)) / 
  LAG(active_users) OVER (ORDER BY month) * 100 AS MoM_retention_rate
FROM 
  retention
ORDER BY 
  month
LIMIT 25;</t>
  </si>
  <si>
    <t>SELECT
distinct merchant, count(*)
FROM
momovn-prod.BU_ECOM.DLS_ALL_TRANS_V3_1
WHERE
DATE BETWEEN '2024-11-01' AND '2024-11-07'
GROUP BY 1
ORDER BY 2 desc
-- AND MERCHANT = 'TICKET BOX'
-- GROUP BY
-- DATE
-- ORDER BY
-- DATE
-- LIMIT 25;</t>
  </si>
  <si>
    <t>SELECT DISTINCT 
  month, 
  COUNT(DISTINCT user_id) user,
  COUNT(DISTINCT order_id) trans,
  SUM(GMV) GMV,
  SUM(net_rev) net_rev,
  SUM(GMV)/COUNT(DISTINCT user_id) GMV_PER_USER
FROM `momovn-prod.BU_ECOM.DLS_ALL_TRANS_V3_1`
WHERE month = '2023-10-01' OR Month = '2024-01-01'
GROUP BY 1</t>
  </si>
  <si>
    <t>SELECT COUNT(*) AS transaction_count
FROM `momovn-prod.BU_ECOM.DLS_ALL_TRANS_V3_1`
WHERE DATE = '2024-08-01'</t>
  </si>
  <si>
    <t>SELECT COUNT(*) AS transaction_count
FROM `momovn-prod.BU_ECOM.DLS_ALL_TRANS_V3_1`
WHERE DATE = '2024-08-01'
ORDER BY DATE
LIMIT 10</t>
  </si>
  <si>
    <t>SELECT COUNT(DISTINCT t.USER_ID) AS USER
FROM `momovn-prod.BU_ECOM.DLS_ALL_TRANS_V3_1` t
WHERE t.CATE = 'MARKETPLACE'
AND t.MONTH = '2024-09-01'</t>
  </si>
  <si>
    <t xml:space="preserve">SELECT COUNT(DISTINCT t.USER_ID) AS USER
FROM `momovn-prod.BU_ECOM.DLS_ALL_TRANS_V3_1` t
WHERE t.CATE = 'MARKETPLACE'
AND t.MONTH = '2024-09-01'
</t>
  </si>
  <si>
    <t>SELECT COUNT(*) AS transaction_count
FROM `momovn-prod.BU_ECOM.DLS_ALL_TRANS_V3_1`
WHERE DATE_TRUNC(DATE, MONTH) = '2024-08-01'
AND CATE = 'APPLICATION STORE'</t>
  </si>
  <si>
    <t xml:space="preserve">SELECT COUNT(*) AS transaction_count
FROM `momovn-prod.BU_ECOM.DLS_ALL_TRANS_V3_1`
WHERE CATE = 'APPLICATION STORE'
AND FORMAT_DATE('%Y-%m', DATE) = '2024-08'
</t>
  </si>
  <si>
    <t>SELECT DISTINCT 
  month, 
  COUNT(DISTINCT user_id)
FROM `momovn-prod.BU_ECOM.DLS_ALL_TRANS_V3_1`
WHERE month = '2023-10-01' OR Month = '2024-01-01'
GROUP BY 1</t>
  </si>
  <si>
    <t xml:space="preserve">SELECT COUNT(*) AS transaction_count
FROM `momovn-prod.BU_ECOM.DLS_ALL_TRANS_V3_1`
WHERE CATE = 'APPLICATION STORE' 
AND FORMAT_DATE('%Y-%m', DATE) = '2024-08'
LIMIT 10
</t>
  </si>
  <si>
    <t>SELECT
  DATE,
  SUM(GMV) AS total_gmv 
FROM `momovn-prod.BU_ECOM.DLS_ALL_TRANS_V3_1`
WHERE
  MONTH = '2024-09-01' AND 
  CASE
    WHEN SERVICE_CODE IN ( 'govietbike', 'm4becomgocar_app') THEN 'Tài xế Gojek'
    WHEN SERVICE_CODE IN ( 'disburse.lalamove_disburse', 'm4becomlalamove') THEN 'Tài xế Lalamove'
    WHEN SERVICE_CODE IN ( 'billpaygrab', 'billpaygrabbike') THEN 'Tài xế Grab'
    WHEN (SERVICE_CODE ='aha20151225001' AND  STORE_ID IN ('aha_supplier_topup', 'aha_supplier_transferCOD'))
        OR SERVICE_CODE IN ('m4becomahamove_taixe', 'disburse.ahamove_disburse_v2') THEN 'Tài xế Ahamove'
    ELSE 'Không phải tài xế'
  END = 'Tài xế Gojek'
GROUP BY
  DATE
ORDER BY DATE
LIMIT 10;</t>
  </si>
  <si>
    <t>SELECT DISTINCT 
  month, 
  COUNT(DISTINCT user_id) user,
  COUNT(DISTINCT order_id) trans,
  SUM(GMV) GMV,
  SUM(net_rev) net_rev
FROM `momovn-prod.BU_ECOM.DLS_ALL_TRANS_V3_1`
WHERE month = '2023-10-01' OR Month = '2024-01-01'
GROUP BY 1</t>
  </si>
  <si>
    <t>SELECT 
  CATE,
  COUNT(DISTINCT USER_ID),
  COUNT(DISTINCT ORDER_ID),
  SUM(GMV),
  SUM(NET_REV)
FROM `momovn-prod.BU_ECOM.DLS_ALL_TRANS_V3_1`
WHERE (DATE BETWEEN '2024-09-01' and '2024-10-01') AND (CATE IN ('APPLICATION STORE','LOGISTICS','MARKETPLACE','OTT')) 
GROUP BY 1</t>
  </si>
  <si>
    <t>SELECT DATE, MONTH
FROM `momovn-prod.BU_ECOM.DLS_ALL_TRANS_V3_1`
WHERE DATE &gt;= '2024-08-30'</t>
  </si>
  <si>
    <t>SELECT DATE, MONTH
FROM `momovn-prod.BU_ECOM.DLS_ALL_TRANS_V3_1`
WHERE DATE &gt;= '2024-08-30'
order by 1 desc</t>
  </si>
  <si>
    <t>SELECT 
  SUM(NET_REV)
FROM `momovn-prod.BU_ECOM.DLS_ALL_TRANS_V3_1`
WHERE DATE = '2024-09-30' AND CATE = 'LOGISTICS'</t>
  </si>
  <si>
    <t>SELECT 
  SUM(NET_REV)
FROM `momovn-prod.BU_ECOM.DLS_ALL_TRANS_V3_1`
WHERE DATE = '2024-09-30' AND CATE = 'MARKETPLACE'</t>
  </si>
  <si>
    <t>SELECT 
  SUM(NET_REV)
FROM `momovn-prod.BU_ECOM.DLS_ALL_TRANS_V3_1`
WHERE (DATE BETWEEN '2024-09-23' AND '2024-09-30') AND (CATE = 'APPLICATION STORE')</t>
  </si>
  <si>
    <t>SELECT 
  DATE,
  SUM(NET_REV)
FROM `momovn-prod.BU_ECOM.DLS_ALL_TRANS_V3_1`
WHERE (DATE BETWEEN '2024-09-23' AND '2024-09-30') AND (CATE = 'OTT')
GROUP BY 1
ORDER BY 1</t>
  </si>
  <si>
    <t>SELECT 
  DATE,
  SUM(NET_REV)
FROM `momovn-prod.BU_ECOM.DLS_ALL_TRANS_V3_1`
WHERE (DATE BETWEEN '2024-09-23' AND '2024-09-30') AND (CATE = 'GAME')
GROUP BY 1
ORDER BY 1</t>
  </si>
  <si>
    <t>SELECT 
  DATE,
  SUM(NET_REV)
FROM `momovn-prod.BU_ECOM.DLS_ALL_TRANS_V3_1`
WHERE (DATE BETWEEN '2024-09-23' AND '2024-09-30') AND (CATE = 'APPLICATION STORE')
GROUP BY 1</t>
  </si>
  <si>
    <t>SELECT 
  DATE,
  SUM(NET_REV)
FROM `momovn-prod.BU_ECOM.DLS_ALL_TRANS_V3_1`
WHERE (DATE BETWEEN '2024-08-01' and '2024-09-30') AND (CATE IN ('APPLICATION STORE')) 
GROUP BY 1</t>
  </si>
  <si>
    <t>SELECT 
  DATE,
  SUM(NET_REV)
FROM `momovn-prod.BU_ECOM.DLS_ALL_TRANS_V3_1`
WHERE (DATE BETWEEN '2024-09-23' AND '2024-09-30') AND (CATE = 'LOGISTICS')
GROUP BY 1
ORDER BY 1</t>
  </si>
  <si>
    <t>SELECT 
  DATE,
  SUM(NET_REV)
FROM `momovn-prod.BU_ECOM.DLS_ALL_TRANS_V3_1`
WHERE (DATE BETWEEN '2024-09-23' AND '2024-09-30') AND (CATE = 'MARKETPLACE')
GROUP BY 1
ORDER BY 1</t>
  </si>
  <si>
    <t>SELECT 
  DATE,
  SUM(NET_REV)
FROM `momovn-prod.BU_ECOM.DLS_ALL_TRANS_V3_1`
WHERE (DATE BETWEEN '2024-09-23' AND '2024-09-30') AND (CATE = 'DIGITAL CONTENT')
GROUP BY 1
ORDER BY 1</t>
  </si>
  <si>
    <t>SELECT 
    MONTH,
    COUNT(DISTINCT USER_ID) AS COHORT_SIZE
  FROM `momovn-prod.BU_ECOM.DLS_ALL_TRANS_V3_1` 
  WHERE MONTH = '2024-08-01' AND CATE = 'APPLICATION STORE'
  GROUP BY 1</t>
  </si>
  <si>
    <t>SELECT 
  DATE,
  SUM(NET_REV)
FROM `momovn-prod.BU_ECOM.DLS_ALL_TRANS_V3_1`
WHERE (DATE BETWEEN '2024-09-23' AND '2024-09-30') AND (CATE = 'APPLICATION STORE')
GROUP BY 1
ORDER BY 1</t>
  </si>
  <si>
    <t>SELECT 
  DATE,
  ORDER_ID, 
  NET_REV
FROM `momovn-prod.BU_ECOM.DLS_ALL_TRANS_V3_1`
WHERE (DATE BETWEEN '2024-09-01' and '2024-09-30') AND (CATE IN ('APPLICATION STORE')) 
ORDER BY 1,2</t>
  </si>
  <si>
    <t>SELECT 
  DATE,
  SUM(NET_REV)
FROM `momovn-prod.BU_ECOM.DLS_ALL_TRANS_V3_1`
WHERE (DATE BETWEEN '2024-08-01' and '2024-09-30') AND (CATE IN ('APPLICATION STORE')) 
GROUP BY 1
ORDER BY 1</t>
  </si>
  <si>
    <t>SELECT 
  DATE,
  ORDER_ID, 
  NET_REV
FROM `momovn-prod.BU_ECOM.DLS_ALL_TRANS_V3_1`
WHERE (DATE BETWEEN '2024-09-01' and '2024-09-30') AND (CATE IN ('APPLICATION STORE')) 
ORDER BY 1,2,3</t>
  </si>
  <si>
    <t>SELECT 
  DATE,
  SUM(NET_REV)
FROM `momovn-prod.BU_ECOM.DLS_ALL_TRANS_V3_1`
WHERE (DATE BETWEEN '2024-09-23' AND '2024-09-30') AND (CATE IN ('DIGITAL CONTENT','APPLICATION STORE','GAME'))
GROUP BY 1
ORDER BY 1</t>
  </si>
  <si>
    <t xml:space="preserve">  SELECT DISTINCT CITY
  FROM `momovn-prod.BU_ECOM.DLS_ALL_TRANS_V3_1`
  WHERE MONTH &gt;= '2023-01-01' AND CATE IN ('LOGISTICS','ADS PAYMENT','APPLICATION STORE','MARKETPLACE','GAME','OTT','DIGITAL CONTENT')
  AND CITY IN ('Bà Rịa - Vũng Tàu', 'Bình Dương', 'Bình Phước', 'Đồng Nai', 'Long An', 'Tây Ninh')</t>
  </si>
  <si>
    <t xml:space="preserve">
SELECT DISTINCT cate, MERCHANT
FROM `momovn-prod.BU_ECOM.DLS_ALL_TRANS_V3_1`
</t>
  </si>
  <si>
    <t>select distinct MERCHANT
from `momovn-prod.BU_ECOM.DLS_ALL_TRANS_V3_1`</t>
  </si>
  <si>
    <t xml:space="preserve">select distinct merchant
from `momovn-prod.BU_ECOM.DLS_ALL_TRANS_V3_1`
</t>
  </si>
  <si>
    <t>select distinct trans_type
from `momovn-prod.BU_ECOM.DLS_ALL_TRANS_V3_1`</t>
  </si>
  <si>
    <t>select *
from `momovn-prod.BU_ECOM.DLS_ALL_TRANS_V3_1`
where order_id = 64425296130</t>
  </si>
  <si>
    <t>select *
FROM `momovn-prod.BU_ECOM.DLS_ALL_TRANS_V3_1`
WHERE ORDER_ID = 64229162882</t>
  </si>
  <si>
    <t>select *
FROM `momovn-prod.BU_ECOM.DLS_ALL_TRANS_V3_1`
WHERE ORDER_ID = 64444436862</t>
  </si>
  <si>
    <t>select *
FROM `momovn-prod.BU_ECOM.DLS_ALL_TRANS_V3_1`
WHERE ORDER_ID = 65148639655</t>
  </si>
  <si>
    <t>select *
FROM `momovn-prod.BU_ECOM.DLS_ALL_TRANS_V3_1`
WHERE ORDER_ID = 65310949720</t>
  </si>
  <si>
    <t>select *
FROM `momovn-prod.BU_ECOM.DLS_ALL_TRANS_V3_1`
WHERE ORDER_ID = 65683874927</t>
  </si>
  <si>
    <t>select *
FROM `momovn-prod.BU_ECOM.DLS_ALL_TRANS_V3_1`
WHERE ORDER_ID = 	65683874927</t>
  </si>
  <si>
    <t xml:space="preserve">select *
FROM `momovn-prod.BU_ECOM.DLS_ALL_TRANS_V3_1`
WHERE ORDER_ID = 65683874927
</t>
  </si>
  <si>
    <t xml:space="preserve">select *
from `momovn-prod.BU_ECOM.DLS_ALL_TRANS_V3_1` 
WHERE ORDER_ID = 65789576109
</t>
  </si>
  <si>
    <t xml:space="preserve">select *
from `momovn-prod.BU_ECOM.DLS_ALL_TRANS_V3_1` 
WHERE ORDER_ID = 65790481666
</t>
  </si>
  <si>
    <t>select distinct MERCHANT, SUB_CATE, CATE, SUB_MERCHANT
from `momovn-prod.BU_ECOM.DLS_ALL_TRANS_V3_1`</t>
  </si>
  <si>
    <t xml:space="preserve">select distinct MERCHANT, SUB_CATE, CATE, SUB_MERCHANT
from `momovn-prod.BU_ECOM.DLS_ALL_TRANS_V3_1`
</t>
  </si>
  <si>
    <t>select distinct merchant
from `momovn-prod.BU_ECOM.DLS_ALL_TRANS_V3_1`
where merchant like "%Crystal%"</t>
  </si>
  <si>
    <t xml:space="preserve">select distinct merchant
from `momovn-prod.BU_ECOM.DLS_ALL_TRANS_V3_1`
where merchant like "%carame%"
</t>
  </si>
  <si>
    <t xml:space="preserve">select date, MONEY_SOURCE, MERCHANT, GMV, TOTAL_REV, NET_REV, AGE,
from `momovn-prod.BU_ECOM.DLS_ALL_TRANS_V3_1`
</t>
  </si>
  <si>
    <t xml:space="preserve">select month, sum (gmv) as total_gmv, sum(promo_amount) as promo_amount, sum (cashback_amount) as cb_amount, sum (refund_amount) as refund_amount, sum (total_rev) as total_rev,
sum(refund_rev) as refund_rev, sum(net_rev) as net_rev
FROM `momovn-prod.BU_ECOM.DLS_ALL_TRANS_V3_1`
WHERE month = '2024-08-01' and merchant = 'TIKTOK'
group by 1
-- ORDER_ID = 65310949720
</t>
  </si>
  <si>
    <t xml:space="preserve">select month, sum (gmv) as total_gmv, sum(promo_amount) as promo_amount, sum (cashback_amount) as cb_amount, sum (refund_amount) as refund_amount, sum (total_rev) as total_rev,
sum(refund_rev) as refund_rev, sum(net_rev) as net_rev
FROM `momovn-prod.BU_ECOM.DLS_ALL_TRANS_V3_1`
WHERE month = '2024-08-01' and merchant = 'GRAB-ENDUSER'
group by 1
-- ORDER_ID = 65310949720
</t>
  </si>
  <si>
    <t>select distinct MERCHANT, SUB_CATE, CATE, SUB_MERCHANT
from `momovn-prod.BU_ECOM.DLS_ALL_TRANS_V3_1`
WHERE MERCHANT = 'GRAB'</t>
  </si>
  <si>
    <t xml:space="preserve">with a as (
select distinct
  month,
  datetime,
  order_id,
  gmv,
  refund_amount,
  total_rev,
  refund_rev,
  net_rev
from `momovn-prod.BU_ECOM.DLS_ALL_TRANS_V3_1`
where month &gt;= '2024-07-01' and refund_amount is not null
--order_id = 64425296130
)
select month, count (distinct order_id), count (distinct case when refund_rev = 0 then order_id end)
from a
group by 1
order by 1 </t>
  </si>
  <si>
    <t>select distinct order_id
from `momovn-prod.BU_ECOM.DLS_ALL_TRANS_V3_1`
where promo_amount is not null and cashback_amount is not null</t>
  </si>
  <si>
    <t>select distinct order_id, datetime
from `momovn-prod.BU_ECOM.DLS_ALL_TRANS_V3_1`
where refund_amount is not null and month = '2024-07-01'</t>
  </si>
  <si>
    <t>select distinct order_id, datetime
from `momovn-prod.BU_ECOM.DLS_ALL_TRANS_V3_1`
where refund_amount is not null and month = '2024-08-01'</t>
  </si>
  <si>
    <t xml:space="preserve">select date, MONEY_SOURCE, MERCHANT, GMV, TOTAL_REV, NET_REV, AGE,
from `momovn-prod.BU_ECOM.DLS_ALL_TRANS_V3_1`
where USER_ID = 56466652
</t>
  </si>
  <si>
    <t xml:space="preserve">select distinct order_id, datetime
from `momovn-prod.BU_ECOM.DLS_ALL_TRANS_V3_1`
where promo_amount is not null and refund_amount is not null </t>
  </si>
  <si>
    <t xml:space="preserve">select date, MONEY_SOURCE, MERCHANT, GMV, TOTAL_REV, NET_REV, AGE,
from `momovn-prod.BU_ECOM.DLS_ALL_TRANS_V3_1`
where USER_ID = '56466652'
</t>
  </si>
  <si>
    <t>select distinct order_id, datetime
from `momovn-prod.BU_ECOM.DLS_ALL_TRANS_V3_1`
where promo_amount is not null and cashback_amount is not null</t>
  </si>
  <si>
    <t>SELECT DISTINCT ORDER_ID, trans_type
FROM `momovn-prod.BU_ECOM.DLS_ALL_TRANS_V3_1` 
WHERE TRANS_TYPE  IN ('promo','refund_discount','refund_promo_cashback')</t>
  </si>
  <si>
    <t xml:space="preserve">select month, merchant, SUM(GMV)
from `momovn-prod.BU_ECOM.DLS_ALL_TRANS_V3_1`
where USER_ID = 56466652
and date &gt;= '2024-08-01'
GROUP BY 1,2
ORDER BY 3 DESC
</t>
  </si>
  <si>
    <t>select distinct order_id, datetime
from `momovn-prod.BU_ECOM.DLS_ALL_TRANS_V3_1`
where promo_amount is not null and refund_amount is not null and month = '2024-08-01'</t>
  </si>
  <si>
    <t xml:space="preserve">select date, MONEY_SOURCE, MERCHANT, GMV, TOTAL_REV, NET_REV, AGE,
from `momovn-prod.BU_ECOM.DLS_ALL_TRANS_V3_1`
where USER_ID = 56466652
and date &gt;= '2024-08-01'
</t>
  </si>
  <si>
    <t>select distinct order_id, datetime
from `momovn-prod.BU_ECOM.DLS_ALL_TRANS_V3_1`
where cashback_amount is not null and refund_amount is not null and month = '2024-08-01'</t>
  </si>
  <si>
    <t>select 
  month, 
  COUNT(DISTINCT IF (req_type = 'token',USER_ID, NULL)) / COUNT(DISTINCT USER_ID) as Percent_User,
  COUNT(DISTINCT IF (req_type = 'token',ORDER_ID, NULL)) / COUNT(DISTINCT ORDER_ID) as Percent_Trans,
  SUM(CASE WHEN req_type = 'token' THEN GMV else 0 END) / SUM(GMV)
  from `momovn-prod.BU_ECOM.DLS_ALL_TRANS_V3_1`
  where CATE IN ('LOGISTICS','ADS PAYMENT','APPLICATION STORE','MARKETPLACE','GAME','OTT','DIGITAL', 'CONTENT')
  GROUP BY 1</t>
  </si>
  <si>
    <t xml:space="preserve">with a as (
select distinct
  month,
  datetime,
  order_id,
  gmv,
  refund_amount,
  total_rev,
  refund_rev,
  net_rev
from `momovn-prod.BU_ECOM.DLS_ALL_TRANS_V3_1`
where month &gt;= '2024-05-01' and refund_amount is not null
--order_id = 64425296130
)
select month, count (distinct order_id), count (distinct case when refund_rev = 0 then order_id end),  count (distinct case when refund_rev = 0 then order_id end)/count (distinct order_id)
from a
group by 1
order by 1 </t>
  </si>
  <si>
    <t>select distinct
  datetime,
  order_id,
  gmv,
  refund_amount,
  total_rev,
  refund_rev,
  net_rev
from `momovn-prod.BU_ECOM.DLS_ALL_TRANS_V3_1`
where month = '2024-08-01' and refund_amount is not null 
--order_id = 64425296130</t>
  </si>
  <si>
    <t xml:space="preserve">SELECT DISTINCT ORDER_ID, trans_type
FROM `momovn-prod.BU_ECOM.DLS_ALL_TRANS_V3_1` 
WHERE TRANS_TYPE  IN ('promo', 'bonus', 'send', 'discount', 'promo_cashback', 'point', 'bonus_promo_fee', 'cashback', 'send_extra', 'investcashout_cashback') </t>
  </si>
  <si>
    <t>select 
  month, 
  COUNT(DISTINCT IF (req_type = 'token',USER_ID, NULL)) / COUNT(DISTINCT USER_ID) as Percent_User,
  COUNT(DISTINCT IF (req_type = 'token',ORDER_ID, NULL)) / COUNT(DISTINCT ORDER_ID) as Percent_Trans,
  SUM(CASE WHEN req_type = 'token' THEN GMV else 0 END) / SUM(GMV) as Percent_GMV
  from `momovn-prod.BU_ECOM.DLS_ALL_TRANS_V3_1`
  where CATE IN ('LOGISTICS','ADS PAYMENT','APPLICATION STORE','MARKETPLACE','GAME','OTT','DIGITAL', 'CONTENT')
    AND date &gt;= '2024-01-01'
  GROUP BY 1</t>
  </si>
  <si>
    <t>WITH CLEAN_DATA AS(
  SELECT 
  MONTH,
  USER_ID,
  CATE, 
  CASE WHEN AGE_GROUP = '[1]. &lt;18 y/o' AND AGE_GROUP = '[1].&lt;18' THEN '[1]. &lt;18 y/o'
    WHEN AGE_GROUP = '[2]. 18 - 22 y/o' AND AGE_GROUP = '[2].18-22' THEN '[2]. 18 - 22 y/o'
    WHEN AGE_GROUP = '[3]. 23 - 26 y/o' AND AGE_GROUP = '[3].23-27' THEN '[3]. 23 - 26 y/o'
    WHEN AGE_GROUP = '[4]. 27 - 30 y/o' AND AGE_GROUP =  '[4].28-35' THEN '[4]. 27 - 30 y/o'
    WHEN AGE_GROUP = '[5]. 31 - 35 y/o' AND AGE_GROUP =  '[5].36-50' THEN '[5]. 31 - 35 y/o'
    WHEN AGE_GROUP = '[6]. 36 - 40 y/o' AND AGE_GROUP = '[6].&gt;50' THEN '[6]. 36 - 40 y/o'
    WHEN AGE_GROUP = '[7]. &gt;40 y/o' THEN '[7]. &gt;40 y/o'
    ELSE AGE_GROUP END AS AGE_GROUP_NEW
  FROM `momovn-prod.BU_ECOM.DLS_ALL_TRANS_V3_1`
  WHERE MONTH = '2023-07-01' AND CATE IN ('LOGISTICS','ADS PAYMENT','APPLICATION STORE','MARKETPLACE','GAME','OTT','DIGITAL CONTENT')
)
  SELECT 
    MONTH, 
    AGE_GROUP_NEW,
    COUNT(DISTINCT USER_ID) AS MAU_DLS_ONLINE
  FROM CLEAN_DATA
  GROUP BY 1,2</t>
  </si>
  <si>
    <t>WITH CLEAN_DATA AS(
  SELECT 
  MONTH,
  USER_ID,
  CATE, 
  CASE WHEN AGE_GROUP = '[1]. &lt;18 y/o' AND AGE_GROUP = '[1].&lt;18' THEN '[1]. &lt;18 y/o'
    WHEN AGE_GROUP = '[2]. 18 - 22 y/o' AND AGE_GROUP = '[2].18-22' THEN '[2]. 18 - 22 y/o'
    WHEN AGE_GROUP = '[3]. 23 - 26 y/o' AND AGE_GROUP = '[3].23-27' THEN '[3]. 23 - 26 y/o'
    WHEN AGE_GROUP = '[4]. 27 - 30 y/o' AND AGE_GROUP =  '[4].28-35' THEN '[4]. 27 - 30 y/o'
    WHEN AGE_GROUP = '[5]. 31 - 35 y/o' AND AGE_GROUP =  '[5].36-50' THEN '[5]. 31 - 35 y/o'
    WHEN AGE_GROUP = '[6]. 36 - 40 y/o' AND AGE_GROUP = '[6].&gt;50' THEN '[6]. 36 - 40 y/o'
    WHEN AGE_GROUP = '[7]. &gt;40 y/o' THEN '[7]. &gt;40 y/o'
    ELSE AGE_GROUP END AS AGE_GROUP_NEW
  FROM `momovn-prod.BU_ECOM.DLS_ALL_TRANS_V3_1`
  WHERE MONTH = '2024-07-01' AND CATE IN ('LOGISTICS','ADS PAYMENT','APPLICATION STORE','MARKETPLACE','GAME','OTT','DIGITAL CONTENT')
)
  SELECT 
    MONTH, 
    AGE_GROUP_NEW,
    COUNT(DISTINCT USER_ID) AS MAU_DLS_ONLINE
  FROM CLEAN_DATA
  GROUP BY 1,2</t>
  </si>
  <si>
    <t>WITH CLEAN_DATA AS(
  SELECT 
  MONTH,
  USER_ID,
  CATE, 
  CASE WHEN AGE_GROUP = '[1]. &lt;18 y/o' AND AGE_GROUP = '[1].&lt;18' THEN '[1]. &lt;18 y/o'
    WHEN AGE_GROUP = '[2]. 18 - 22 y/o' AND AGE_GROUP = '[2].18-22' THEN '[2]. 18 - 22 y/o'
    WHEN AGE_GROUP = '[3]. 23 - 26 y/o' AND AGE_GROUP = '[3].23-27' THEN '[3]. 23 - 26 y/o'
    WHEN AGE_GROUP = '[4]. 27 - 30 y/o' AND AGE_GROUP =  '[4].28-35' THEN '[4]. 27 - 30 y/o'
    WHEN AGE_GROUP = '[5]. 31 - 35 y/o' AND AGE_GROUP =  '[5].36-50' THEN '[5]. 31 - 35 y/o'
    WHEN AGE_GROUP = '[6]. 36 - 40 y/o' AND AGE_GROUP = '[6].&gt;50' THEN '[6]. 36 - 40 y/o'
    WHEN AGE_GROUP = '[7]. &gt;40 y/o' THEN '[7]. &gt;40 y/o'
    ELSE AGE_GROUP END AS AGE_GROUP_NEW
  FROM `momovn-prod.BU_ECOM.DLS_ALL_TRANS_V3_1`
  WHERE MONTH &gt;= '2024-06-01' AND CATE IN ('LOGISTICS','ADS PAYMENT','APPLICATION STORE','MARKETPLACE','GAME','OTT','DIGITAL CONTENT')
)
  SELECT 
    MONTH, 
    AGE_GROUP_NEW,
    COUNT(DISTINCT USER_ID) AS MAU_DLS_ONLINE
  FROM CLEAN_DATA
  GROUP BY 1,2</t>
  </si>
  <si>
    <t>SELECT 
  MONTH,
  AGE_GROUP,
  COUNT(DISTINCT USER_ID)
  FROM `momovn-prod.BU_ECOM.DLS_ALL_TRANS_V3_1`
  WHERE MONTH = '2024-06-01' AND CATE IN ('LOGISTICS','ADS PAYMENT','APPLICATION STORE','MARKETPLACE','GAME','OTT','DIGITAL CONTENT')
  GROUP BY 1,2</t>
  </si>
  <si>
    <t xml:space="preserve">  SELECT 
  MONTH,
  AGE_GROUP,
  COUNT(DISTINCT USER_ID)
  FROM `momovn-prod.BU_ECOM.DLS_ALL_TRANS_V3_1`
  WHERE MONTH = '2024-06-01' AND CATE IN ('LOGISTICS','ADS PAYMENT','APPLICATION STORE','MARKETPLACE','GAME','OTT','DIGITAL CONTENT')
  GROUP BY 1,2</t>
  </si>
  <si>
    <t xml:space="preserve">
  SELECT 
  MONTH,
  AGE_GROUP,
  COUNT(DISTINCT USER_ID)
  FROM `momovn-prod.BU_ECOM.DLS_ALL_TRANS_V3_1`
  WHERE MONTH = '2024-06-01' AND CATE IN ('LOGISTICS','ADS PAYMENT','APPLICATION STORE','MARKETPLACE','GAME','OTT','DIGITAL CONTENT')
  GROUP BY 1,2</t>
  </si>
  <si>
    <t xml:space="preserve">
  SELECT 
  MONTH,
  AGE_GROUP,
  COUNT(DISTINCT USER_ID)
  FROM `momovn-prod.BU_ECOM.DLS_ALL_TRANS_V3_1`
  WHERE MONTH = '2024-06-01' AND CATE IN ('LOGISTICS','ADS PAYMENT','APPLICATION STORE','MARKETPLACE','GAME','OTT','DIGITAL CONTENT')
  GROUP BY 1,2
  </t>
  </si>
  <si>
    <t xml:space="preserve">
  SELECT 
  MONTH,
  AGE_GROUP, 
  COUNT(DISTINCT USER_ID)
  FROM `momovn-prod.BU_ECOM.DLS_ALL_TRANS_V3_1`
  WHERE MONTH &gt;= '2024-06-01' AND CATE IN ('LOGISTICS','ADS PAYMENT','APPLICATION STORE','MARKETPLACE','GAME','OTT','DIGITAL CONTENT')
  GROUP BY 1,2
</t>
  </si>
  <si>
    <t xml:space="preserve">  SELECT 
    MONTH, 
    COUNT(DISTINCT USER_ID) AS MAU_DLS_ONLINE
  FROM `momovn-prod.BU_ECOM.DLS_ALL_TRANS_V3_1`
  WHERE CATE IN ('LOGISTICS','ADS PAYMENT','APPLICATION STORE','MARKETPLACE','GAME','OTT','DIGITAL CONTENT') AND MONTH &gt;= '2023-01-01'
  GROUP BY 1</t>
  </si>
  <si>
    <t xml:space="preserve">  SELECT 
    MONTH, 
    COUNT(DISTINCT USER_ID) AS MAU_DLS_ONLINE
  FROM `momovn-prod.BU_ECOM.DLS_ALL_TRANS_V3_1`
  WHERE CATE IN ('LOGISTICS','ADS PAYMENT','APPLICATION STORE','MARKETPLACE','GAME','OTT','DIGITAL CONTENT') AND MONTH &gt;= '2023-01-01'
  GROUP BY 1
  ORDER BY 1</t>
  </si>
  <si>
    <t>SELECT 
  MONTH,
  AGE_GROUP,
  COUNT(DISTINCT USER_ID)
  FROM `momovn-prod.BU_ECOM.DLS_ALL_TRANS_V3_1`
  WHERE MONTH = '2024-06-01' AND CATE IN ('LOGISTICS','ADS PAYMENT','APPLICATION STORE','MARKETPLACE','GAME','OTT','DIGITAL CONTENT')
  AND AGE_GROUP = '[1].&lt;18' 
  GROUP BY 1,2</t>
  </si>
  <si>
    <t>SELECT 
  MONTH,
  AGE_GROUP,
  COUNT(DISTINCT USER_ID)
  FROM `momovn-prod.BU_ECOM.DLS_ALL_TRANS_V3_1`
  WHERE MONTH = '2024-06-01' AND CATE IN ('LOGISTICS','ADS PAYMENT','APPLICATION STORE','MARKETPLACE','GAME','OTT','DIGITAL CONTENT')
  AND AGE_GROUP = '[1].&lt;18 ' 
  GROUP BY 1,2</t>
  </si>
  <si>
    <t>SELECT DISTINCT CATE
  FROM `momovn-prod.BU_ECOM.DLS_ALL_TRANS_V3_1`</t>
  </si>
  <si>
    <t xml:space="preserve">
  SELECT 
  MONTH,
  AGE_GROUP,
  CASE WHEN AGE_GROUP = '[1].&lt;18' THEN '[1]. &lt;18 y/o' END AS NEW_TEST,
  COUNT(DISTINCT USER_ID)
  FROM `momovn-prod.BU_ECOM.DLS_ALL_TRANS_V3_1`
  WHERE MONTH = '2024-06-01' AND CATE IN ('LOGISTICS','ADS PAYMENT','APPLICATION STORE','MARKETPLACE','GAME','OTT','DIGITAL CONTENT')
  GROUP BY 1,2,3</t>
  </si>
  <si>
    <t>SELECT 
  *, 
  CASE WHEN AGE_GROUP = '[1]. &lt;18 y/o' AND AGE_GROUP = '[1].&lt;18' THEN '[1]. &lt;18 y/o'
    WHEN AGE_GROUP = '[2]. 18 - 22 y/o' AND AGE_GROUP = '[2].18-22' THEN '[2]. 18 - 22 y/o'
    WHEN AGE_GROUP = '[3]. 23 - 26 y/o' AND AGE_GROUP = '[3].23-27' THEN '[3]. 23 - 26 y/o'
    WHEN AGE_GROUP = '[4]. 27 - 30 y/o' AND AGE_GROUP =  '[4].28-35' THEN '[4]. 27 - 30 y/o'
    WHEN AGE_GROUP = '[5]. 31 - 35 y/o' AND AGE_GROUP =  '[5].36-50' THEN '[5]. 31 - 35 y/o'
    WHEN AGE_GROUP = '[6]. 36 - 40 y/o' AND AGE_GROUP = '[6].&gt;50' THEN '[6]. 36 - 40 y/o'
    WHEN AGE_GROUP = '[7]. &gt;40 y/o' THEN '[7]. &gt;40 y/o'
    ELSE AGE_GROUP END AS AGE_GROUP_NEW
  FROM `momovn-prod.BU_ECOM.DLS_ALL_TRANS_V3_1`
  WHERE MONTH &gt;= '2023-01-01' AND CATE IN ('LOGISTICS','ADS PAYMENT','APPLICATION STORE','MARKETPLACE','GAME','OTT','DIGITAL CONTENT')</t>
  </si>
  <si>
    <t xml:space="preserve"> SELECT 
    DISTINCT AGE_GROUP
  FROM `momovn-prod.BU_ECOM.DLS_ALL_TRANS_V3_1`
</t>
  </si>
  <si>
    <t xml:space="preserve">
  SELECT 
  MONTH,
  AGE_GROUP,
  CASE WHEN age_group IN ('[1]. &lt;18 y/o') THEN '[1]. &lt;18 y/o' END AS NEW_TEST,
  COUNT(DISTINCT USER_ID)
  FROM `momovn-prod.BU_ECOM.DLS_ALL_TRANS_V3_1`
  WHERE MONTH = '2024-06-01' AND CATE IN ('LOGISTICS','ADS PAYMENT','APPLICATION STORE','MARKETPLACE','GAME','OTT','DIGITAL CONTENT')
  GROUP BY 1,2,3</t>
  </si>
  <si>
    <t xml:space="preserve"> SELECT 
    DISTINCT AGE_GROUP
  FROM `momovn-prod.BU_ECOM.DLS_ALL_TRANS_V3_1`
  ORDER BY 1
</t>
  </si>
  <si>
    <t>SELECT DISTINCT AGE_GROUP
FROM `momovn-prod.BU_ECOM.DLS_ALL_TRANS_V3_1`
WHERE MONTH &gt;= '2024-01-01'</t>
  </si>
  <si>
    <t xml:space="preserve">  SELECT 
  MONTH,
  USER_ID,
  CATE, 
  CASE WHEN AGE_GROUP = '[1]. &lt;18 y/o' AND AGE_GROUP = '[1].&lt;18' THEN '[1]. &lt;18 y/o'
    WHEN AGE_GROUP = '[2]. 18 - 22 y/o' AND AGE_GROUP = '[2].18-22' THEN '[2]. 18 - 22 y/o'
    WHEN AGE_GROUP = '[3]. 23 - 26 y/o' AND AGE_GROUP = '[3].23-27' THEN '[3]. 23 - 26 y/o'
    WHEN AGE_GROUP = '[4]. 27 - 30 y/o' AND AGE_GROUP =  '[4].28-35' THEN '[4]. 27 - 30 y/o'
    WHEN AGE_GROUP = '[5]. 31 - 35 y/o' AND AGE_GROUP =  '[5].36-50' THEN '[5]. 31 - 35 y/o'
    WHEN AGE_GROUP = '[6]. 36 - 40 y/o' AND AGE_GROUP = '[6].&gt;50' THEN '[6]. 36 - 40 y/o'
    WHEN AGE_GROUP = '[7]. &gt;40 y/o' THEN '[7]. &gt;40 y/o'
    ELSE AGE_GROUP END AS AGE_GROUP_NEW
  FROM `momovn-prod.BU_ECOM.DLS_ALL_TRANS_V3_1`
  WHERE MONTH &gt;= '2023-07-01' AND CATE IN ('LOGISTICS','ADS PAYMENT','APPLICATION STORE','MARKETPLACE','GAME','OTT','DIGITAL CONTENT')</t>
  </si>
  <si>
    <t xml:space="preserve">  SELECT 
  MONTH,
  USER_ID,
  CATE, 
  CASE WHEN AGE_GROUP = '[1]. &lt;18 y/o' AND AGE_GROUP = '[1].&lt;18' THEN '[1]. &lt;18 y/o'
    WHEN AGE_GROUP = '[2]. 18 - 22 y/o' AND AGE_GROUP = '[2].18-22' THEN '[2]. 18 - 22 y/o'
    WHEN AGE_GROUP = '[3]. 23 - 26 y/o' AND AGE_GROUP = '[3].23-27' THEN '[3]. 23 - 26 y/o'
    WHEN AGE_GROUP = '[4]. 27 - 30 y/o' AND AGE_GROUP =  '[4].28-35' THEN '[4]. 27 - 30 y/o'
    WHEN AGE_GROUP = '[5]. 31 - 35 y/o' AND AGE_GROUP =  '[5].36-50' THEN '[5]. 31 - 35 y/o'
    WHEN AGE_GROUP = '[6]. 36 - 40 y/o' AND AGE_GROUP = '[6].&gt;50' THEN '[6]. 36 - 40 y/o'
    WHEN AGE_GROUP = '[7]. &gt;40 y/o' THEN '[7]. &gt;40 y/o'
    ELSE AGE_GROUP END AS AGE_GROUP_NEW
  FROM `momovn-prod.BU_ECOM.DLS_ALL_TRANS_V3_1`
  WHERE MONTH &gt;= '2024-06-01' AND CATE IN ('LOGISTICS','ADS PAYMENT','APPLICATION STORE','MARKETPLACE','GAME','OTT','DIGITAL CONTENT')</t>
  </si>
  <si>
    <t xml:space="preserve">  WITH CLEAN_DATA AS(
  SELECT 
  MONTH,
  USER_ID,
  CATE, 
  CASE WHEN AGE_GROUP = '[1].&lt;18' THEN '[1]. &lt;18 y/o'
    WHEN AGE_GROUP IN('[2]. 18 - 22 y/o','[2].18-22') THEN '[2]. 18 - 22 y/o'
    WHEN AGE_GROUP IN ('[3]. 23 - 26 y/o','[3].23-27') THEN '[3]. 23 - 26 y/o'
    WHEN AGE_GROUP IN ('[4]. 27 - 30 y/o','[4].28-35') THEN '[4]. 27 - 30 y/o'
    WHEN AGE_GROUP IN ('[5]. 31 - 35 y/o','[5].36-50') THEN '[5]. 31 - 35 y/o'
    WHEN AGE_GROUP IN ('[6]. 36 - 40 y/o','[6].&gt;50') THEN '[6]. 36 - 40 y/o'
    WHEN AGE_GROUP = '[7]. &gt;40 y/o' THEN '[7]. &gt;40 y/o'
    END AS AGE_GROUP_NEW
  FROM `momovn-prod.BU_ECOM.DLS_ALL_TRANS_V3_1`
  WHERE MONTH = '2024-06-01' AND CATE IN ('LOGISTICS','ADS PAYMENT','APPLICATION STORE','MARKETPLACE','GAME','OTT','DIGITAL CONTENT')
)
  SELECT 
    MONTH, 
    AGE_GROUP_NEW,
    COUNT(DISTINCT USER_ID) AS MAU_DLS_ONLINE
  FROM CLEAN_DATA
  GROUP BY 1,2</t>
  </si>
  <si>
    <t xml:space="preserve">  WITH CLEAN_DATA AS(
  SELECT 
  MONTH,
  USER_ID,
  CATE, 
  CASE WHEN AGE_GROUP IN ('[1].&lt;18') THEN '[1]. &lt;18 y/o'
    WHEN AGE_GROUP IN('[2]. 18 - 22 y/o','[2].18-22') THEN '[2]. 18 - 22 y/o'
    WHEN AGE_GROUP IN ('[3]. 23 - 26 y/o','[3].23-27') THEN '[3]. 23 - 26 y/o'
    WHEN AGE_GROUP IN ('[4]. 27 - 30 y/o','[4].28-35') THEN '[4]. 27 - 30 y/o'
    WHEN AGE_GROUP IN ('[5]. 31 - 35 y/o','[5].36-50') THEN '[5]. 31 - 35 y/o'
    WHEN AGE_GROUP IN ('[6]. 36 - 40 y/o','[6].&gt;50') THEN '[6]. 36 - 40 y/o'
    WHEN AGE_GROUP = '[7]. &gt;40 y/o' THEN '[7]. &gt;40 y/o'
    END AS AGE_GROUP_NEW
  FROM `momovn-prod.BU_ECOM.DLS_ALL_TRANS_V3_1`
  WHERE MONTH = '2024-06-01' AND CATE IN ('LOGISTICS','ADS PAYMENT','APPLICATION STORE','MARKETPLACE','GAME','OTT','DIGITAL CONTENT')
)
  SELECT 
    MONTH, 
    AGE_GROUP_NEW,
    COUNT(DISTINCT USER_ID) AS MAU_DLS_ONLINE
  FROM CLEAN_DATA
  GROUP BY 1,2</t>
  </si>
  <si>
    <t xml:space="preserve">  WITH CLEAN_DATA AS(
  SELECT 
  MONTH,
  USER_ID,
  CATE, 
  CASE WHEN AGE_GROUP IN ('[1]. &lt;18 y/o','[1].&lt;18') THEN '[1]. &lt;18 y/o'
    WHEN AGE_GROUP IN('[2]. 18 - 22 y/o','[2].18-22') THEN '[2]. 18 - 22 y/o'
    WHEN AGE_GROUP IN ('[3]. 23 - 26 y/o','[3].23-27') THEN '[3]. 23 - 26 y/o'
    WHEN AGE_GROUP IN ('[4]. 27 - 30 y/o','[4].28-35') THEN '[4]. 27 - 30 y/o'
    WHEN AGE_GROUP IN ('[5]. 31 - 35 y/o','[5].36-50') THEN '[5]. 31 - 35 y/o'
    WHEN AGE_GROUP IN ('[6]. 36 - 40 y/o','[6].&gt;50') THEN '[6]. 36 - 40 y/o'
    WHEN AGE_GROUP = '[7]. &gt;40 y/o' THEN '[7]. &gt;40 y/o'
    END AS AGE_GROUP_NEW
  FROM `momovn-prod.BU_ECOM.DLS_ALL_TRANS_V3_1`
  WHERE MONTH = '2024-06-01' AND CATE IN ('LOGISTICS','ADS PAYMENT','APPLICATION STORE','MARKETPLACE','GAME','OTT','DIGITAL CONTENT')
)
  SELECT 
    MONTH, 
    AGE_GROUP_NEW,
    COUNT(DISTINCT USER_ID) AS MAU_DLS_ONLINE
  FROM CLEAN_DATA
  GROUP BY 1,2</t>
  </si>
  <si>
    <t>SELECT 
  MONTH, 
  COUNT(DISTINCT USER_ID)
FROM `momovn-prod.BU_ECOM.DLS_ALL_TRANS_V3_1`
WHERE CATE = 'LOGISTICS' AND MONTH &gt;= '2023-01-01'
GROUP BY 1
ORDER BY 1</t>
  </si>
  <si>
    <t xml:space="preserve">  WITH CLEAN_DATA AS(
  SELECT 
  MONTH,
  USER_ID,
  CATE, 
  CASE WHEN AGE_GROUP IN ('[1]. &lt;18 y/o','[1].&lt;18') THEN '[1]. &lt;18 y/o'
    WHEN AGE_GROUP IN('[2]. 18 - 22 y/o','[2].18-22') THEN '[2]. 18 - 22 y/o'
    WHEN AGE_GROUP IN ('[3]. 23 - 26 y/o','[3].23-27') THEN '[3]. 23 - 26 y/o'
    WHEN AGE_GROUP IN ('[4]. 27 - 30 y/o','[4].28-35') THEN '[4]. 27 - 30 y/o'
    WHEN AGE_GROUP IN ('[5]. 31 - 35 y/o','[5].36-50') THEN '[5]. 31 - 35 y/o'
    WHEN AGE_GROUP IN ('[6]. 36 - 40 y/o','[6].&gt;50') THEN '[6]. 36 - 40 y/o'
    WHEN AGE_GROUP = '[7]. &gt;40 y/o' THEN '[7]. &gt;40 y/o'
    ELSE AGE_GROUP END AS AGE_GROUP_NEW
  FROM `momovn-prod.BU_ECOM.DLS_ALL_TRANS_V3_1`
  WHERE MONTH = '2024-06-01' AND CATE IN ('LOGISTICS','ADS PAYMENT','APPLICATION STORE','MARKETPLACE','GAME','OTT','DIGITAL CONTENT')
)
  SELECT 
    MONTH, 
    AGE_GROUP_NEW,
    COUNT(DISTINCT USER_ID) AS MAU_DLS_ONLINE
  FROM CLEAN_DATA
  GROUP BY 1,2</t>
  </si>
  <si>
    <t xml:space="preserve">  WITH CLEAN_DATA AS(
  SELECT 
  MONTH,
  USER_ID,
  CATE, 
  CASE WHEN AGE_GROUP IN ('[1]. &lt;18 y/o','[1].&lt;18') THEN '[1]. &lt;18 y/o'
    WHEN AGE_GROUP IN('[2]. 18 - 22 y/o','[2].18-22') THEN '[2]. 18 - 22 y/o'
    WHEN AGE_GROUP IN ('[3]. 23 - 26 y/o','[3].23-27') THEN '[3]. 23 - 26 y/o'
    WHEN AGE_GROUP IN ('[4]. 27 - 30 y/o','[4].28-35') THEN '[4]. 27 - 30 y/o'
    WHEN AGE_GROUP IN ('[5]. 31 - 35 y/o','[5].36-50') THEN '[5]. 31 - 35 y/o'
    WHEN AGE_GROUP IN ('[6]. 36 - 40 y/o','[6].&gt;50') THEN '[6]. 36 - 40 y/o'
    WHEN AGE_GROUP = '[7]. &gt;40 y/o' THEN '[7]. &gt;40 y/o'
    ELSE AGE_GROUP END AS AGE_GROUP_NEW
  FROM `momovn-prod.BU_ECOM.DLS_ALL_TRANS_V3_1`
  WHERE MONTH &gt;= '2024-06-01' AND CATE IN ('LOGISTICS','ADS PAYMENT','APPLICATION STORE','MARKETPLACE','GAME','OTT','DIGITAL CONTENT')
)
  SELECT 
    MONTH, 
    AGE_GROUP_NEW,
    COUNT(DISTINCT USER_ID) AS MAU_DLS_ONLINE
  FROM CLEAN_DATA
  GROUP BY 1,2</t>
  </si>
  <si>
    <t xml:space="preserve">  SELECT 
    DISTINCT CATE
  FROM `momovn-prod.BU_ECOM.DLS_ALL_TRANS_V3_1`
  WHERE CATE IN ('LOGISTICS','ADS PAYMENT','APPLICATION STORE','MARKETPLACE','GAME','OTT','DIGITAL CONTENT') AND MONTH &gt;= '2023-01-01'
</t>
  </si>
  <si>
    <t xml:space="preserve">
  SELECT 
  MONTH,
  AGE_GROUP
  FROM `momovn-prod.BU_ECOM.DLS_ALL_TRANS_V3_1`
  WHERE MONTH = '2024-06-01' AND CATE IN ('LOGISTICS','ADS PAYMENT','APPLICATION STORE','MARKETPLACE','GAME','OTT','DIGITAL CONTENT')
  AND AGE_GROUP = [1].&lt;18</t>
  </si>
  <si>
    <t xml:space="preserve">  SELECT 
  MONTH,
  AGE_GROUP
  FROM `momovn-prod.BU_ECOM.DLS_ALL_TRANS_V3_1`
  WHERE MONTH = '2024-06-01' AND CATE IN ('LOGISTICS','ADS PAYMENT','APPLICATION STORE','MARKETPLACE','GAME','OTT','DIGITAL CONTENT')
  AND AGE_GROUP = '[1].&lt;18' </t>
  </si>
  <si>
    <t xml:space="preserve">
  SELECT 
  MONTH,
  AGE_GROUP
  FROM `momovn-prod.BU_ECOM.DLS_ALL_TRANS_V3_1`
  WHERE MONTH = '2024-06-01' AND CATE IN ('LOGISTICS','ADS PAYMENT','APPLICATION STORE','MARKETPLACE','GAME','OTT','DIGITAL CONTENT')
  AND AGE_GROUP = "[1].&lt;18"</t>
  </si>
  <si>
    <t xml:space="preserve">
  SELECT 
  MONTH,
  AGE_GROUP
  FROM `momovn-prod.BU_ECOM.DLS_ALL_TRANS_V3_1`
  WHERE MONTH = '2024-06-01' AND CATE IN ('LOGISTICS','ADS PAYMENT','APPLICATION STORE','MARKETPLACE','GAME','OTT','DIGITAL CONTENT')
  AND AGE_GROUP = '[1].&lt;18'</t>
  </si>
  <si>
    <t xml:space="preserve">
  SELECT 
  MONTH,
  AGE_GROUP,
  COUNT(DISTINCT USER_ID)
  FROM `momovn-prod.BU_ECOM.DLS_ALL_TRANS_V3_1`
  WHERE MONTH = '2024-06-01' AND CATE IN ('LOGISTICS','ADS PAYMENT','APPLICATION STORE','MARKETPLACE','GAME','OTT','DIGITAL CONTENT')
</t>
  </si>
  <si>
    <t xml:space="preserve">  MONTH,
  AGE_GROUP,
  COUNT(DISTINCT USER_ID)
  FROM `momovn-prod.BU_ECOM.DLS_ALL_TRANS_V3_1`
  WHERE MONTH = '2024-06-01' AND CATE IN ('LOGISTICS','ADS PAYMENT','APPLICATION STORE','MARKETPLACE','GAME','OTT','DIGITAL CONTENT')
  GROUP BY 1,2</t>
  </si>
  <si>
    <t>SELECT 
  DATE,
  DATETIME, 
  MONTH,
  USER_ID, 
  ORDER_ID
FROM `momovn-prod.BU_ECOM.DLS_ALL_TRANS_V3_1`
WHERE 
ORDER_ID = 52739441266
OR ORDER_ID = 57532262092
OR ORDER_ID = 33758450286
OR ORDER_ID = 37379117514
OR ORDER_ID =45612086012
OR ORDER_ID = 56760013932</t>
  </si>
  <si>
    <t>SELECT 
  DATE,
  DATETIME, 
  MONTH,
  USER_ID, 
  ORDER_ID
FROM `momovn-prod.BU_ECOM.DLS_ALL_TRANS_V3_1`
WHERE ORDER_ID IN (27351100643,19054127145,16870103339,7173320052,5288592806)</t>
  </si>
  <si>
    <t>SELECT 
  DATE,
  DATETIME, 
  MONTH,
  USER_ID, 
  ORDER_ID
FROM `momovn-prod.BU_ECOM.DLS_ALL_TRANS_V3_1`
WHERE ORDER_ID = 27351100643
OR ORDER_ID = 19054127145
OR ORDER_ID = 16870103339
OR ORDER_ID = 7173320052
OR ORDER_ID = 5288592806</t>
  </si>
  <si>
    <t>SELECT 
  DATE,
  DATETIME, 
  MONTH,
  USER_ID, 
  ORDER_ID
FROM `momovn-prod.BU_ECOM.DLS_ALL_TRANS_V3_1`
WHERE ORDER_ID = 27351100643
AND ORDER_ID = 19054127145
AND ORDER_ID = 16870103339
AND ORDER_ID = 7173320052
AND ORDER_ID = 5288592806</t>
  </si>
  <si>
    <t>INSERT INTO `momovn-mimir.MIMIR.DLS_ALL_TRANS_V3_1`
SELECT `DATE`, USER_ID, TRANS_TYPE, ALL_IN_ONE, MONEY_SOURCE, PARTNER_CODE, SERVICE_CODE, BU_GROUP_CODE_L1, GROUP_CODE_L1, CATE, MERCHANT, SUB_MERCHANT, GMV, TOTAL_REV, NET_REV, PROMO_AMOUNT, GENDER, AGE, AGE_GROUP, CITY, REGION, IS_KYC, IS_FACE_MATCHING, CHEATING, QD2345_CHECK, ORDER_ID, REQ_TYPE
FROM `momovn-prod.BU_ECOM.DLS_ALL_TRANS_V3_1`
WHERE DATE &gt;= "2024-07-01"</t>
  </si>
  <si>
    <t>INSERT `momovn-prod.MBI_DA.LOAN_P2P_RECEIVER_SEGMENT_ADS_PAYMENT_RAW`
select distinct month
, date
, order_id as tid
, user_id
, gmv
from momovn-prod.BU_ECOM.DLS_ALL_TRANS_V3_1
where 1=1
and date &gt;= DATE_MAX
and cate = 'ADS PAYMENT'</t>
  </si>
  <si>
    <t xml:space="preserve">  SELECT DISTINCT USER_ID, 
  CASE WHEN total_gmv &lt; 3000000 THEN 'Light'
      WHEN total_gmv &gt;= 3000000 and total_gmv &lt; 50000000 THEN 'Medium'
      WHEN total_gmv &gt;= 50000000 THEN 'Heavy'
    END AS Segment
  FROM(
  select 
    USER_ID, 
    SUM(GMV) as total_gmv
  from `momovn-prod.BU_ECOM.DLS_ALL_TRANS_V3_1`
  where date &gt;= '2024-01-01'
  GROUP BY 1
  )</t>
  </si>
  <si>
    <t xml:space="preserve">  SELECT DISTINCT USER_ID, 
  total_gmv,
  CASE WHEN total_gmv &lt; 3000000 THEN 'Light'
      WHEN total_gmv &gt;= 3000000 and total_gmv &lt; 50000000 THEN 'Medium'
      WHEN total_gmv &gt;= 50000000 THEN 'Heavy'
    END AS Segment
  FROM(
  select 
    USER_ID, 
    SUM(GMV) as total_gmv
  from `momovn-prod.BU_ECOM.DLS_ALL_TRANS_V3_1`
  where date &gt;= '2024-01-01'
  GROUP BY 1
  )</t>
  </si>
  <si>
    <t xml:space="preserve">  SELECT USER_ID, 
  CASE WHEN total_gmv &lt; 3000000 THEN 'Light'
      WHEN total_gmv &gt;= 3000000 and total_gmv &lt; 50000000 THEN 'Medium'
      WHEN total_gmv &gt;= 50000000 THEN 'Heavy'
    END AS Segment
  FROM(
  select 
    USER_ID, 
    SUM(GMV) as total_gmv
  from `momovn-prod.BU_ECOM.DLS_ALL_TRANS_V3_1`
  where date &gt;= '2024-01-01'
  GROUP BY 1
  )</t>
  </si>
  <si>
    <t>with base as (
  select distinct 
    month, 
    user_id,
    cate
  from  `momovn-prod.BU_ECOM.DLS_ALL_TRANS_V3_1`  
  where cate = 'LOGISTICS' and date &gt;= '2023-12-01'
),
monthly_users AS (
  SELECT
    month,
    cate,
    merchant,
    COUNT(DISTINCT user_id) AS total_users
  FROM
  `momovn-prod.BU_ECOM.DLS_ALL_TRANS_V3_1`  
  WHERE date &gt;= '2024-01-01' and cate = 'LOGISTICS' 
  GROUP BY 1,2,3
),
final as (
  SELECT
    t1.month as t1_month,
    t1.user_id,
    t1.cate as t1_cate,
    t2.month as t2_month,
    t2.cate as t2_cate,
    case when t2.month is not null then t2.user_id end as retain_cate 
  FROM base t1
  LEFT JOIN base t2
  ON t1.user_id = t2.user_id
    AND t2.month = DATE_ADD(t1.month, interval 1 month) 
    AND t1.cate = t2.cate 
  WHERE t1.month &gt;= '2024-01-01' --and t1.user_id = 35552695
  order by t1.month
)
select 
t1_month, 
count (distinct retain_cate) as retain_user, 
count (distinct user_id) as total_user,
count (distinct retain_cate)/ count (distinct user_id) as retain_rate
from final
group by 1</t>
  </si>
  <si>
    <t>with monthly_user as (
    SELECT
    month,
    CATE,
    MERCHANT,
    USER_ID
  FROM
  `momovn-prod.BU_ECOM.DLS_ALL_TRANS_V3_1`  
  WHERE date &gt;= '2023-12-01'
),
retained_users as(
  SELECT 
    cur.month,
    cur.CATE,
    cur.MERCHANT,
    COUNT(DISTINCT pre.user_id) as returning_users,
    COUNT(DISTINCT cur.user_id) as total_users
  FROM monthly_user cur
  LEFT JOIN monthly_user pre ON cur.user_id = pre.user_id
                          and cur.cate = pre.cate
                          and pre.month = DATE_SUB(cur.month, INTERVAL 1 MONTH)
  GROUP BY 1,2,3
),
joined_table as(
  select
    month,
    cate,
    MERCHANT,
    returning_users,
    LAG(total_users) over(order by month) as pre_total_users,
    total_users
  FROM retained_users 
  ORDER BY 1
)
SELECT 
*,
SAFE_DIVIDE(returning_users,pre_total_users)
FROM joined_table
ORDER BY 1</t>
  </si>
  <si>
    <t>with monthly_user as (
    SELECT
    month,
    CATE,
    MERCHANT,
    USER_ID
  FROM
  `momovn-prod.BU_ECOM.DLS_ALL_TRANS_V3_1`  
  WHERE date &gt;= '2023-12-01' and CATE IN ('LOGISTICS','ADS PAYMENT')
),
retained_users as(
  SELECT 
    cur.month,
    cur.CATE,
    cur.MERCHANT,
    COUNT(DISTINCT pre.user_id) as returning_users,
    COUNT(DISTINCT cur.user_id) as total_users
  FROM monthly_user cur
  LEFT JOIN monthly_user pre ON cur.user_id = pre.user_id
                          and cur.cate = pre.cate
                          and cur.merchant = cur.merchant
                          and pre.month = DATE_SUB(cur.month, INTERVAL 1 MONTH)
  GROUP BY 1,2,3
),
joined_table as(
  select
    month,
    cate,
    MERCHANT,
    returning_users,
    LAG(total_users) over(order by month) as pre_total_users,
    total_users
  FROM retained_users 
  ORDER BY 1
)
SELECT 
*,
SAFE_DIVIDE(returning_users,pre_total_users)
FROM joined_table
ORDER BY 1</t>
  </si>
  <si>
    <t>with monthly_user as (
    SELECT
    month,
    CATE,
    MERCHANT,
    USER_ID
  FROM
  `momovn-prod.BU_ECOM.DLS_ALL_TRANS_V3_1`  
  WHERE date &gt;= '2023-12-01' and CATE IN ('LOGISTICS','ADS PAYMENT')
),
retained_users as(
  SELECT 
    cur.month,
    cur.CATE,
    cur.MERCHANT,
    COUNT(DISTINCT pre.user_id) as returning_users,
    COUNT(DISTINCT cur.user_id) as total_users
  FROM monthly_user cur
  LEFT JOIN monthly_user pre ON cur.user_id = pre.user_id
                          and cur.cate = pre.cate
                          and pre.month = DATE_SUB(cur.month, INTERVAL 1 MONTH)
  GROUP BY 1,2,3
),
joined_table as(
  select
    month,
    cate,
    MERCHANT,
    returning_users,
    LAG(total_users) over(order by month) as pre_total_users,
    total_users
  FROM retained_users 
  ORDER BY 1
)
SELECT 
*,
SAFE_DIVIDE(returning_users,pre_total_users)
FROM joined_table
ORDER BY 1</t>
  </si>
  <si>
    <t>with monthly_user as (
    SELECT
    month,
    CATE,
    MERCHANT,
    USER_ID
  FROM
  `momovn-prod.BU_ECOM.DLS_ALL_TRANS_V3_1`  
  WHERE date &gt;= '2023-12-01' and CATE IN ('LOGISTICS','ADS PAYMENT','APPLICATION STORE','MARKETPLACE','GAME','OTT','DIGITAL', 'CONTENT')
),
retained_users as(
  SELECT 
    cur.month,
    cur.CATE,
    cur.MERCHANT,
    COUNT(DISTINCT pre.user_id) as returning_users,
    COUNT(DISTINCT cur.user_id) as total_users
  FROM monthly_user cur
  LEFT JOIN monthly_user pre ON cur.user_id = pre.user_id
                          and cur.cate = pre.cate
                          and pre.month = DATE_SUB(cur.month, INTERVAL 1 MONTH)
  GROUP BY 1,2,3
),
joined_table as(
  select
    month,
    cate,
    MERCHANT,
    returning_users,
    LAG(total_users) over(order by month) as pre_total_users,
    total_users
  FROM retained_users 
  ORDER BY 1
)
SELECT 
*,
SAFE_DIVIDE(returning_users,pre_total_users)
FROM joined_table
ORDER BY 1</t>
  </si>
  <si>
    <t>with monthly_user as (
    SELECT
    month,
    CATE,
    USER_ID
  FROM
  `momovn-prod.BU_ECOM.DLS_ALL_TRANS_V3_1`  
  WHERE date &gt;= '2023-12-01'
),
retained_users as(
  SELECT 
    cur.month,
    cur.CATE,
    COUNT(DISTINCT pre.user_id) as returning_users,
    COUNT(DISTINCT cur.user_id) as total_users
  FROM monthly_user cur
  LEFT JOIN monthly_user pre ON cur.user_id = pre.user_id
                          and cur.cate = pre.cate
                          and pre.month = DATE_SUB(cur.month, INTERVAL 1 MONTH)
  GROUP BY 1,2
),
joined_table as(
  select
    month,
    cate,
    returning_users,
    LAG(total_users) over(order by month) as pre_total_users,
    total_users
  FROM retained_users 
  ORDER BY 1
)
SELECT 
*,
SAFE_DIVIDE(returning_users,pre_total_users)
FROM joined_table
ORDER BY 1</t>
  </si>
  <si>
    <t xml:space="preserve">with users_sgement as(
  SELECT 
  month,
  USER_ID,
  CASE WHEN total_gmv &lt; 3000000 THEN 'Light'
    WHEN total_gmv &gt;= 3000000 and total_gmv &lt; 50000000 THEN 'Medium'
    WHEN total_gmv &gt;= 50000000 THEN 'Heavy'
    END AS Segment
  FROM(
  select 
    month,
    USER_ID, 
    SUM(GMV) as total_gmv
  from `momovn-prod.BU_ECOM.DLS_ALL_TRANS_V3_1`
  where date &gt;= '2024-01-01' and CATE = 'ADS PAYMENT'
  GROUP BY 1,2
  )
)
SELECT m.month, 
u.segment,
COUNT(DISTINCT m.USER_ID) as Total_Users,
COUNT(m.ORDER_ID) as total_trans,
SUM(m.GMV) as Total_GMV
FROM users_sgement u JOIN `momovn-prod.BU_ECOM.DLS_ALL_TRANS_V3_1` m 
    ON u.USER_ID = m.USER_ID
    AND m.date &gt;= '2024-01-01'
    AND m.CATE = 'ADS PAYMENT'
GROUP BY 1,2
</t>
  </si>
  <si>
    <t xml:space="preserve">with users_sgement as(
  SELECT DISTINCT USER_ID, 
  total_gmv,
  CASE WHEN total_gmv &lt; 3000000 THEN 'Light'
      WHEN total_gmv &gt;= 3000000 and total_gmv &lt; 50000000 THEN 'Medium'
      WHEN total_gmv &gt;= 50000000 THEN 'Heavy'
    END AS Segment
  FROM(
  select 
    USER_ID, 
    SUM(GMV) as total_gmv
  from `momovn-prod.BU_ECOM.DLS_ALL_TRANS_V3_1`
  where date &gt;= '2024-01-01' and CATE = 'ADS PAYMENT'
  GROUP BY 1
  )
)
SELECT m.month, 
u.segment,
COUNT(DISTINCT u.USER_ID) as Total_Users
FROM users_sgement u JOIN `momovn-prod.BU_ECOM.DLS_ALL_TRANS_V3_1` m 
    ON u.USER_ID = m.USER_ID
    AND m.date &gt;= '2024-01-01'
    AND m.CATE = 'ADS PAYMENT'
GROUP BY 1,2
</t>
  </si>
  <si>
    <t xml:space="preserve">with users_sgement as(
  SELECT DISTINCT USER_ID, 
  total_gmv,
  CASE WHEN total_gmv &lt; 3000000 THEN 'Light'
      WHEN total_gmv &gt;= 3000000 and total_gmv &lt; 50000000 THEN 'Medium'
      WHEN total_gmv &gt;= 50000000 THEN 'Heavy'
    END AS Segment
  FROM(
  select 
    USER_ID, 
    SUM(GMV) as total_gmv
  from `momovn-prod.BU_ECOM.DLS_ALL_TRANS_V3_1`
  where date &gt;= '2024-01-01'
  GROUP BY 1
  )
)
SELECT m.month, 
u.segment,
COUNT(DISTINCT u.USER_ID) as Total_Users
FROM users_sgement u JOIN `momovn-prod.BU_ECOM.DLS_ALL_TRANS_V3_1` m 
    ON u.USER_ID = m.USER_ID
    AND m.date &gt;= '2024-01-01'
GROUP BY 1,2
</t>
  </si>
  <si>
    <t xml:space="preserve">  select 
    month,
    USER_ID, 
    SUM(GMV) as total_gmv
  from `momovn-prod.BU_ECOM.DLS_ALL_TRANS_V3_1`
  where date &gt;= '2024-01-01' and CATE = 'ADS PAYMENT'
  GROUP BY 1,2</t>
  </si>
  <si>
    <t>---1355418
  select distinct 
    month,
    CATE,
    COUNT(DISTINCT user_id),
  from  `momovn-prod.BU_ECOM.DLS_ALL_TRANS_V3_1`  
  where cate = 'LOGISTICS' and date &gt;= '2023-12-01'
  GROUP BY 1,2</t>
  </si>
  <si>
    <t>questions</t>
  </si>
  <si>
    <t>predict_sql</t>
  </si>
  <si>
    <t>WITH total_mau AS (
  SELECT COUNT(DISTINCT user_payment) as total_users
  FROM `project-5400504384186300846.BU_UTILITIES_TELCO.AIRTIME_DETAILS`
  WHERE month_active = '2024-04-01'
)
SELECT 
  IFNULL(province, 'Unknown') as province,
  IFNULL(gender, 'Unknown') as gender,
  COUNT(DISTINCT user_payment) as users,
  ROUND(COUNT(DISTINCT user_payment) * 100.0 / MAX(total_users), 2) as contribution_percentage
FROM `project-5400504384186300846.BU_UTILITIES_TELCO.AIRTIME_DETAILS`
CROSS JOIN total_mau
WHERE month_active = '2024-04-01'
GROUP BY province, gender
ORDER BY users DESC</t>
  </si>
  <si>
    <t>WITH monthly_users AS (
  SELECT 
    EXTRACT(MONTH FROM t.date) as month,
    COUNT(DISTINCT t.user_id) as monthly_active_users
  FROM `momovn-mimir.MIMIR.iDeA_TRANS_CORE` t
  JOIN `momovn-mimir.MIMIR.iDeA_TRANS_DEMOGRAPHIC` d
    ON t.user_id = d.user_id
  WHERE 
    EXTRACT(YEAR FROM t.date) = 2024
    AND d.city = 'Hà Nội'
  GROUP BY 
    EXTRACT(MONTH FROM t.date)
  ORDER BY 
    month
)
SELECT 
  month,
  monthly_active_users
FROM monthly_users;</t>
  </si>
  <si>
    <t>Số user overlap giữa 2 merchant? số GMV, Trans, Revenue của nhóm user overlap đó. % đối với tổng mỗi merchant</t>
  </si>
  <si>
    <t>[TextBlock(text="&lt;analysis&gt;\nTo find overlapping users between two merchants and analyze their metrics, I notice that I need:\n1. The specific two merchants the user wants to compare (this is missing from the request)\n2. Data about transactions including GMV, number of transactions, and revenue\n3. Calculate overlap metrics and percentages\n\nI should ask the user to specify which two merchants they want to compare before proceeding with the analysis.\n&lt;/analysis&gt;\n\nI notice that you haven't specified which two merchants you'd like to compare. Could you please provide the names of the two merchants you're interested in analyzing? Once you provide those, I can help you with:\n1. Finding overlapping users between those merchants\n2. Calculating their GMV, transaction counts, and revenue\n3. Computing what percentage these metrics represent of each merchant's total\n\nPlease specify the two merchant names you'd like to compare, and I'll generate the appropriate analysis for you.", type='text')]</t>
  </si>
  <si>
    <t>SELECT 
  MONTH,
  COUNT(DISTINCT USER_ID) as user_count
FROM `momovn-prod.BU_ECOM.MAU_BY_USECASE_VER2`
WHERE USECASE_TYPE = '2 USECASE'
GROUP BY MONTH
ORDER BY MONTH DESC</t>
  </si>
  <si>
    <t>Retention rate of MoMo users in 2024</t>
  </si>
  <si>
    <t>có bao nhiêu user grab giao dịch từ 3 transaction trở lên trong tháng 12 năm 2024</t>
  </si>
  <si>
    <t>Tổng GMV/Trans trong tháng 4 năm 2024 của User có các amount = 19000 trong tháng 6</t>
  </si>
  <si>
    <t>WITH active_users AS (
  SELECT DISTINCT USER_ID
  FROM `momovn-prod.BU_ECOM.DLS_ALL_TRANS_V3_1`
  WHERE MONTH = '2024-03-01'
),
all_segmented_users AS (
  SELECT DISTINCT USER_ID, USER_SEGMENT
  FROM `momovn-prod.BU_ECOM.USER_SPENDING_SEGMENT_BY_CATE_V3`
  WHERE MONTH = '2024-03-01'
  AND USER_SEGMENT IS NOT NULL
)
SELECT 
  u.USER_SEGMENT,
  COUNT(DISTINCT u.USER_ID) as inactive_users
FROM all_segmented_users u
LEFT JOIN active_users a ON u.USER_ID = a.USER_ID
WHERE a.USER_ID IS NULL
GROUP BY u.USER_SEGMENT
ORDER BY 
  CASE 
    WHEN USER_SEGMENT = '1. Heavy' THEN 1
    WHEN USER_SEGMENT = '2. Medium' THEN 2
    WHEN USER_SEGMENT = '3. Light' THEN 3
  END;</t>
  </si>
  <si>
    <t>which entrypoint do user come from the most in \"Hà Nội\" city in Mar 2024?</t>
  </si>
  <si>
    <t>SELECT 
  SUM(TRANS) as total_transactions
FROM `momovn-prod.BU_ECOM.USER_SPENDING_SEGMENT_BY_CATE_V3`
WHERE USER_SEGMENT = '3. Light'
  AND CATE = 'ADS PAYMENT'
  AND MONTH BETWEEN '2024-04-01' AND '2024-06-01'</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</si>
</sst>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color theme="1"/>
      <name val="Lexend"/>
    </font>
    <font>
      <sz val="11.0"/>
      <color theme="1"/>
      <name val="Lexend"/>
    </font>
    <font>
      <b/>
      <sz val="11.0"/>
      <color theme="1"/>
      <name val="Lexend"/>
    </font>
    <font>
      <b/>
      <u/>
      <color rgb="FFFFFFFF"/>
      <name val="Lexend"/>
    </font>
    <font/>
    <font>
      <b/>
      <color rgb="FFFFFFFF"/>
      <name val="Lexend"/>
    </font>
    <font>
      <b/>
      <sz val="12.0"/>
      <color theme="1"/>
      <name val="Arial"/>
    </font>
    <font>
      <color theme="1"/>
      <name val="Arial"/>
      <scheme val="minor"/>
    </font>
    <font>
      <sz val="10.0"/>
      <color theme="1"/>
      <name val="Roboto"/>
    </font>
    <font>
      <sz val="12.0"/>
      <color theme="1"/>
      <name val="Arial"/>
    </font>
    <font>
      <sz val="9.0"/>
      <color theme="1"/>
      <name val="Roboto"/>
    </font>
    <font>
      <color theme="1"/>
      <name val="Arial"/>
    </font>
    <font>
      <sz val="9.0"/>
      <color theme="1"/>
      <name val="Arial"/>
    </font>
    <font>
      <sz val="9.0"/>
      <color theme="1"/>
      <name val="Arial"/>
      <scheme val="minor"/>
    </font>
    <font>
      <u/>
      <color rgb="FF0000FF"/>
    </font>
    <font>
      <strike/>
      <sz val="10.0"/>
      <color theme="1"/>
      <name val="Roboto"/>
    </font>
    <font>
      <strike/>
      <sz val="9.0"/>
      <color theme="1"/>
      <name val="Roboto"/>
    </font>
    <font>
      <strike/>
      <sz val="12.0"/>
      <color theme="1"/>
      <name val="Arial"/>
    </font>
    <font>
      <strike/>
      <sz val="9.0"/>
      <color theme="1"/>
      <name val="Arial"/>
    </font>
    <font>
      <strike/>
      <color theme="1"/>
      <name val="Arial"/>
      <scheme val="minor"/>
    </font>
    <font>
      <strike/>
      <sz val="9.0"/>
      <color theme="1"/>
      <name val="Arial"/>
      <scheme val="minor"/>
    </font>
    <font>
      <color rgb="FF000000"/>
      <name val="Arial"/>
    </font>
  </fonts>
  <fills count="7">
    <fill>
      <patternFill patternType="none"/>
    </fill>
    <fill>
      <patternFill patternType="lightGray"/>
    </fill>
    <fill>
      <patternFill patternType="solid">
        <fgColor theme="7"/>
        <bgColor theme="7"/>
      </patternFill>
    </fill>
    <fill>
      <patternFill patternType="solid">
        <fgColor rgb="FFC9DAF8"/>
        <bgColor rgb="FFC9DAF8"/>
      </patternFill>
    </fill>
    <fill>
      <patternFill patternType="solid">
        <fgColor rgb="FFF3F3F3"/>
        <bgColor rgb="FFF3F3F3"/>
      </patternFill>
    </fill>
    <fill>
      <patternFill patternType="solid">
        <fgColor rgb="FFFCE5CD"/>
        <bgColor rgb="FFFCE5CD"/>
      </patternFill>
    </fill>
    <fill>
      <patternFill patternType="solid">
        <fgColor rgb="FFFFFFFF"/>
        <bgColor rgb="FFFFFFFF"/>
      </patternFill>
    </fill>
  </fills>
  <borders count="14">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
      <right style="thin">
        <color rgb="FF666666"/>
      </right>
      <bottom style="thin">
        <color rgb="FF666666"/>
      </bottom>
    </border>
    <border>
      <left style="thin">
        <color rgb="FF666666"/>
      </left>
      <right style="thin">
        <color rgb="FF666666"/>
      </right>
      <bottom style="thin">
        <color rgb="FF666666"/>
      </bottom>
    </border>
    <border>
      <left style="thin">
        <color rgb="FF666666"/>
      </left>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rder>
    <border>
      <left style="thin">
        <color rgb="FF666666"/>
      </left>
      <right style="thin">
        <color rgb="FF666666"/>
      </right>
      <top style="thin">
        <color rgb="FF666666"/>
      </top>
    </border>
    <border>
      <left style="thin">
        <color rgb="FF666666"/>
      </left>
      <top style="thin">
        <color rgb="FF666666"/>
      </top>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2" fontId="4" numFmtId="0" xfId="0" applyAlignment="1" applyFill="1" applyFont="1">
      <alignment horizontal="center" readingOrder="0" shrinkToFit="0" vertical="center" wrapText="1"/>
    </xf>
    <xf borderId="0" fillId="0" fontId="1" numFmtId="0" xfId="0" applyAlignment="1" applyFont="1">
      <alignment readingOrder="0" shrinkToFit="0" vertical="center" wrapText="1"/>
    </xf>
    <xf borderId="1" fillId="3" fontId="1" numFmtId="0" xfId="0" applyAlignment="1" applyBorder="1" applyFill="1" applyFont="1">
      <alignment readingOrder="0" shrinkToFit="0" vertical="center" wrapText="1"/>
    </xf>
    <xf borderId="2" fillId="0" fontId="5" numFmtId="0" xfId="0" applyBorder="1" applyFont="1"/>
    <xf borderId="3" fillId="0" fontId="5" numFmtId="0" xfId="0" applyBorder="1" applyFont="1"/>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0" fillId="2" fontId="6" numFmtId="0" xfId="0" applyAlignment="1" applyFont="1">
      <alignment horizontal="center" readingOrder="0" shrinkToFit="0" vertical="center" wrapText="1"/>
    </xf>
    <xf borderId="4" fillId="4" fontId="7" numFmtId="0" xfId="0" applyAlignment="1" applyBorder="1" applyFill="1" applyFont="1">
      <alignment horizontal="center" readingOrder="0" shrinkToFit="0" vertical="center" wrapText="1"/>
    </xf>
    <xf borderId="4" fillId="4" fontId="7" numFmtId="0" xfId="0" applyAlignment="1" applyBorder="1" applyFont="1">
      <alignment horizontal="center" shrinkToFit="0" vertical="center" wrapText="1"/>
    </xf>
    <xf borderId="4" fillId="4" fontId="7" numFmtId="0" xfId="0" applyAlignment="1" applyBorder="1" applyFont="1">
      <alignment horizontal="center" vertical="center"/>
    </xf>
    <xf borderId="0" fillId="0" fontId="8" numFmtId="0" xfId="0" applyAlignment="1" applyFont="1">
      <alignment vertical="center"/>
    </xf>
    <xf borderId="4" fillId="0" fontId="9" numFmtId="0" xfId="0" applyAlignment="1" applyBorder="1" applyFont="1">
      <alignment readingOrder="0" shrinkToFit="0" vertical="center" wrapText="1"/>
    </xf>
    <xf borderId="4" fillId="0" fontId="10" numFmtId="0" xfId="0" applyAlignment="1" applyBorder="1" applyFont="1">
      <alignment readingOrder="0" vertical="center"/>
    </xf>
    <xf borderId="4" fillId="0" fontId="11" numFmtId="0" xfId="0" applyAlignment="1" applyBorder="1" applyFont="1">
      <alignment readingOrder="0" shrinkToFit="0" wrapText="1"/>
    </xf>
    <xf borderId="4" fillId="0" fontId="11" numFmtId="0" xfId="0" applyAlignment="1" applyBorder="1" applyFont="1">
      <alignment shrinkToFit="0" wrapText="1"/>
    </xf>
    <xf borderId="5" fillId="0" fontId="11" numFmtId="0" xfId="0" applyAlignment="1" applyBorder="1" applyFont="1">
      <alignment readingOrder="0" shrinkToFit="0" wrapText="0"/>
    </xf>
    <xf borderId="6" fillId="0" fontId="11" numFmtId="0" xfId="0" applyAlignment="1" applyBorder="1" applyFont="1">
      <alignment readingOrder="0" shrinkToFit="0" wrapText="0"/>
    </xf>
    <xf borderId="7" fillId="0" fontId="11" numFmtId="0" xfId="0" applyAlignment="1" applyBorder="1" applyFont="1">
      <alignment readingOrder="0" shrinkToFit="0" wrapText="1"/>
    </xf>
    <xf borderId="4" fillId="0" fontId="8" numFmtId="0" xfId="0" applyAlignment="1" applyBorder="1" applyFont="1">
      <alignment readingOrder="0" shrinkToFit="0" wrapText="1"/>
    </xf>
    <xf borderId="0" fillId="0" fontId="6" numFmtId="0" xfId="0" applyAlignment="1" applyFont="1">
      <alignment horizontal="center" readingOrder="0" vertical="center"/>
    </xf>
    <xf borderId="4" fillId="0" fontId="6" numFmtId="0" xfId="0" applyAlignment="1" applyBorder="1" applyFont="1">
      <alignment horizontal="center" readingOrder="0" vertical="center"/>
    </xf>
    <xf borderId="4" fillId="0" fontId="8" numFmtId="0" xfId="0" applyAlignment="1" applyBorder="1" applyFont="1">
      <alignment shrinkToFit="0" vertical="center" wrapText="1"/>
    </xf>
    <xf borderId="8" fillId="0" fontId="11" numFmtId="0" xfId="0" applyAlignment="1" applyBorder="1" applyFont="1">
      <alignment readingOrder="0" shrinkToFit="0" wrapText="0"/>
    </xf>
    <xf borderId="9" fillId="0" fontId="11" numFmtId="0" xfId="0" applyAlignment="1" applyBorder="1" applyFont="1">
      <alignment readingOrder="0" shrinkToFit="0" wrapText="0"/>
    </xf>
    <xf borderId="10" fillId="0" fontId="11" numFmtId="0" xfId="0" applyAlignment="1" applyBorder="1" applyFont="1">
      <alignment readingOrder="0" shrinkToFit="0" wrapText="1"/>
    </xf>
    <xf borderId="8" fillId="0" fontId="12" numFmtId="0" xfId="0" applyAlignment="1" applyBorder="1" applyFont="1">
      <alignment readingOrder="0"/>
    </xf>
    <xf borderId="9" fillId="0" fontId="12" numFmtId="0" xfId="0" applyAlignment="1" applyBorder="1" applyFont="1">
      <alignment readingOrder="0"/>
    </xf>
    <xf borderId="10" fillId="0" fontId="12" numFmtId="0" xfId="0" applyAlignment="1" applyBorder="1" applyFont="1">
      <alignment readingOrder="0" shrinkToFit="0" wrapText="1"/>
    </xf>
    <xf borderId="4" fillId="0" fontId="13" numFmtId="0" xfId="0" applyAlignment="1" applyBorder="1" applyFont="1">
      <alignment readingOrder="0" shrinkToFit="0" wrapText="1"/>
    </xf>
    <xf borderId="4" fillId="0" fontId="13" numFmtId="0" xfId="0" applyAlignment="1" applyBorder="1" applyFont="1">
      <alignment shrinkToFit="0" wrapText="1"/>
    </xf>
    <xf borderId="4" fillId="0" fontId="13" numFmtId="0" xfId="0" applyAlignment="1" applyBorder="1" applyFont="1">
      <alignment readingOrder="0" shrinkToFit="0" wrapText="0"/>
    </xf>
    <xf borderId="4" fillId="0" fontId="8" numFmtId="0" xfId="0" applyAlignment="1" applyBorder="1" applyFont="1">
      <alignment readingOrder="0" shrinkToFit="0" vertical="center" wrapText="1"/>
    </xf>
    <xf borderId="4" fillId="0" fontId="14" numFmtId="0" xfId="0" applyAlignment="1" applyBorder="1" applyFont="1">
      <alignment readingOrder="0" shrinkToFit="0" wrapText="1"/>
    </xf>
    <xf borderId="4" fillId="0" fontId="8" numFmtId="0" xfId="0" applyAlignment="1" applyBorder="1" applyFont="1">
      <alignment shrinkToFit="0" wrapText="1"/>
    </xf>
    <xf borderId="4" fillId="0" fontId="8" numFmtId="0" xfId="0" applyAlignment="1" applyBorder="1" applyFont="1">
      <alignment readingOrder="0"/>
    </xf>
    <xf borderId="4" fillId="4" fontId="8" numFmtId="0" xfId="0" applyAlignment="1" applyBorder="1" applyFont="1">
      <alignment readingOrder="0" shrinkToFit="0" vertical="center" wrapText="1"/>
    </xf>
    <xf borderId="4" fillId="0" fontId="8" numFmtId="0" xfId="0" applyBorder="1" applyFont="1"/>
    <xf borderId="4" fillId="0" fontId="13" numFmtId="0" xfId="0" applyAlignment="1" applyBorder="1" applyFont="1">
      <alignment shrinkToFit="0" wrapText="0"/>
    </xf>
    <xf borderId="8" fillId="0" fontId="11" numFmtId="0" xfId="0" applyAlignment="1" applyBorder="1" applyFont="1">
      <alignment shrinkToFit="0" vertical="center" wrapText="1"/>
    </xf>
    <xf borderId="9" fillId="0" fontId="13" numFmtId="0" xfId="0" applyAlignment="1" applyBorder="1" applyFont="1">
      <alignment readingOrder="0" shrinkToFit="0" wrapText="0"/>
    </xf>
    <xf borderId="0" fillId="0" fontId="8" numFmtId="0" xfId="0" applyAlignment="1" applyFont="1">
      <alignment readingOrder="0"/>
    </xf>
    <xf borderId="11" fillId="0" fontId="11" numFmtId="0" xfId="0" applyAlignment="1" applyBorder="1" applyFont="1">
      <alignment readingOrder="0" shrinkToFit="0" vertical="center" wrapText="1"/>
    </xf>
    <xf borderId="12" fillId="0" fontId="13" numFmtId="0" xfId="0" applyAlignment="1" applyBorder="1" applyFont="1">
      <alignment readingOrder="0" shrinkToFit="0" wrapText="0"/>
    </xf>
    <xf borderId="4" fillId="0" fontId="11" numFmtId="0" xfId="0" applyAlignment="1" applyBorder="1" applyFont="1">
      <alignment readingOrder="0" shrinkToFit="0" vertical="center" wrapText="1"/>
    </xf>
    <xf borderId="4" fillId="3" fontId="13" numFmtId="0" xfId="0" applyAlignment="1" applyBorder="1" applyFont="1">
      <alignment readingOrder="0" shrinkToFit="0" wrapText="0"/>
    </xf>
    <xf borderId="4" fillId="0" fontId="11" numFmtId="0" xfId="0" applyAlignment="1" applyBorder="1" applyFont="1">
      <alignment shrinkToFit="0" vertical="center" wrapText="1"/>
    </xf>
    <xf borderId="4" fillId="0" fontId="12" numFmtId="0" xfId="0" applyBorder="1" applyFont="1"/>
    <xf borderId="4" fillId="0" fontId="12" numFmtId="0" xfId="0" applyAlignment="1" applyBorder="1" applyFont="1">
      <alignment readingOrder="0"/>
    </xf>
    <xf borderId="4" fillId="0" fontId="12" numFmtId="0" xfId="0" applyAlignment="1" applyBorder="1" applyFont="1">
      <alignment readingOrder="0" shrinkToFit="0" wrapText="1"/>
    </xf>
    <xf borderId="0" fillId="0" fontId="15" numFmtId="0" xfId="0" applyAlignment="1" applyFont="1">
      <alignment readingOrder="0"/>
    </xf>
    <xf borderId="0" fillId="0" fontId="8" numFmtId="0" xfId="0" applyAlignment="1" applyFont="1">
      <alignment shrinkToFit="0" vertical="center" wrapText="1"/>
    </xf>
    <xf borderId="0" fillId="0" fontId="14" numFmtId="0" xfId="0" applyAlignment="1" applyFont="1">
      <alignment shrinkToFit="0" wrapText="1"/>
    </xf>
    <xf borderId="0" fillId="0" fontId="8" numFmtId="0" xfId="0" applyAlignment="1" applyFont="1">
      <alignment shrinkToFit="0" wrapText="1"/>
    </xf>
    <xf borderId="0" fillId="0" fontId="8" numFmtId="0" xfId="0" applyFont="1"/>
    <xf borderId="0" fillId="0" fontId="8" numFmtId="2" xfId="0" applyFont="1" applyNumberFormat="1"/>
    <xf borderId="4" fillId="3" fontId="14" numFmtId="0" xfId="0" applyAlignment="1" applyBorder="1" applyFont="1">
      <alignment shrinkToFit="0" wrapText="1"/>
    </xf>
    <xf borderId="4" fillId="0" fontId="16" numFmtId="0" xfId="0" applyAlignment="1" applyBorder="1" applyFont="1">
      <alignment readingOrder="0" shrinkToFit="0" vertical="center" wrapText="1"/>
    </xf>
    <xf borderId="8" fillId="0" fontId="17" numFmtId="0" xfId="0" applyAlignment="1" applyBorder="1" applyFont="1">
      <alignment shrinkToFit="0" vertical="center" wrapText="1"/>
    </xf>
    <xf borderId="4" fillId="0" fontId="18" numFmtId="0" xfId="0" applyAlignment="1" applyBorder="1" applyFont="1">
      <alignment readingOrder="0" vertical="center"/>
    </xf>
    <xf borderId="9" fillId="0" fontId="19" numFmtId="0" xfId="0" applyAlignment="1" applyBorder="1" applyFont="1">
      <alignment readingOrder="0" shrinkToFit="0" wrapText="0"/>
    </xf>
    <xf borderId="4" fillId="0" fontId="20" numFmtId="0" xfId="0" applyAlignment="1" applyBorder="1" applyFont="1">
      <alignment shrinkToFit="0" wrapText="1"/>
    </xf>
    <xf borderId="4" fillId="0" fontId="20" numFmtId="0" xfId="0" applyBorder="1" applyFont="1"/>
    <xf borderId="4" fillId="0" fontId="19" numFmtId="0" xfId="0" applyAlignment="1" applyBorder="1" applyFont="1">
      <alignment shrinkToFit="0" wrapText="0"/>
    </xf>
    <xf borderId="4" fillId="0" fontId="19" numFmtId="0" xfId="0" applyAlignment="1" applyBorder="1" applyFont="1">
      <alignment readingOrder="0" shrinkToFit="0" wrapText="0"/>
    </xf>
    <xf borderId="8" fillId="0" fontId="17" numFmtId="0" xfId="0" applyAlignment="1" applyBorder="1" applyFont="1">
      <alignment readingOrder="0" shrinkToFit="0" vertical="center" wrapText="1"/>
    </xf>
    <xf borderId="4" fillId="0" fontId="21" numFmtId="0" xfId="0" applyAlignment="1" applyBorder="1" applyFont="1">
      <alignment readingOrder="0" shrinkToFit="0" wrapText="1"/>
    </xf>
    <xf borderId="4" fillId="0" fontId="20" numFmtId="0" xfId="0" applyAlignment="1" applyBorder="1" applyFont="1">
      <alignment readingOrder="0"/>
    </xf>
    <xf borderId="4" fillId="0" fontId="20" numFmtId="0" xfId="0" applyAlignment="1" applyBorder="1" applyFont="1">
      <alignment readingOrder="0" shrinkToFit="0" wrapText="1"/>
    </xf>
    <xf borderId="8" fillId="0" fontId="13" numFmtId="0" xfId="0" applyAlignment="1" applyBorder="1" applyFont="1">
      <alignment readingOrder="0" shrinkToFit="0" wrapText="0"/>
    </xf>
    <xf borderId="10" fillId="0" fontId="13" numFmtId="0" xfId="0" applyAlignment="1" applyBorder="1" applyFont="1">
      <alignment readingOrder="0" shrinkToFit="0" wrapText="1"/>
    </xf>
    <xf borderId="11" fillId="0" fontId="13" numFmtId="0" xfId="0" applyAlignment="1" applyBorder="1" applyFont="1">
      <alignment readingOrder="0" shrinkToFit="0" wrapText="0"/>
    </xf>
    <xf borderId="13" fillId="0" fontId="13" numFmtId="0" xfId="0" applyAlignment="1" applyBorder="1" applyFont="1">
      <alignment readingOrder="0" shrinkToFit="0" wrapText="1"/>
    </xf>
    <xf borderId="4" fillId="4" fontId="7" numFmtId="0" xfId="0" applyAlignment="1" applyBorder="1" applyFont="1">
      <alignment horizontal="center" readingOrder="0" shrinkToFit="0" wrapText="1"/>
    </xf>
    <xf borderId="0" fillId="5" fontId="8" numFmtId="0" xfId="0" applyAlignment="1" applyFill="1" applyFont="1">
      <alignment readingOrder="0" vertical="center"/>
    </xf>
    <xf borderId="0" fillId="0" fontId="8" numFmtId="0" xfId="0" applyAlignment="1" applyFont="1">
      <alignment readingOrder="0" vertical="center"/>
    </xf>
    <xf borderId="0" fillId="0" fontId="8" numFmtId="0" xfId="0" applyAlignment="1" applyFont="1">
      <alignment readingOrder="0" shrinkToFit="0" vertical="center" wrapText="1"/>
    </xf>
    <xf borderId="0" fillId="6" fontId="22" numFmtId="0" xfId="0" applyAlignment="1" applyFill="1" applyFont="1">
      <alignment horizontal="left" readingOrder="0"/>
    </xf>
    <xf borderId="9" fillId="0" fontId="11" numFmtId="0" xfId="0" applyAlignment="1" applyBorder="1" applyFont="1">
      <alignment readingOrder="0" shrinkToFit="0" vertical="center" wrapText="1"/>
    </xf>
    <xf borderId="8" fillId="0" fontId="13" numFmtId="0" xfId="0" applyAlignment="1" applyBorder="1" applyFont="1">
      <alignment shrinkToFit="0" wrapText="0"/>
    </xf>
    <xf borderId="12" fillId="0" fontId="11" numFmtId="0" xfId="0" applyAlignment="1" applyBorder="1" applyFont="1">
      <alignment readingOrder="0" shrinkToFit="0" vertical="center" wrapText="1"/>
    </xf>
    <xf borderId="0" fillId="0" fontId="12" numFmtId="0" xfId="0" applyFont="1"/>
    <xf borderId="4" fillId="0" fontId="14" numFmtId="0" xfId="0" applyAlignment="1" applyBorder="1" applyFont="1">
      <alignment readingOrder="0" shrinkToFit="0" vertical="center" wrapText="1"/>
    </xf>
    <xf borderId="0" fillId="0" fontId="1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876300</xdr:colOff>
      <xdr:row>2</xdr:row>
      <xdr:rowOff>47625</xdr:rowOff>
    </xdr:from>
    <xdr:ext cx="4552950" cy="2228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imir.mservice.io/chat/684110775e21754843ce470c" TargetMode="External"/><Relationship Id="rId2" Type="http://schemas.openxmlformats.org/officeDocument/2006/relationships/hyperlink" Target="https://mimir.mservice.io/chat/684110775e21754843ce470c" TargetMode="External"/><Relationship Id="rId3" Type="http://schemas.openxmlformats.org/officeDocument/2006/relationships/hyperlink" Target="https://mimir.mservice.io/chat/68410d3ef95aa40576d075d8" TargetMode="External"/><Relationship Id="rId4" Type="http://schemas.openxmlformats.org/officeDocument/2006/relationships/hyperlink" Target="https://mimir.mservice.io/chat/68410d3ef95aa40576d075d8"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6.63"/>
  </cols>
  <sheetData>
    <row r="1">
      <c r="B1" s="1"/>
      <c r="C1" s="1"/>
      <c r="D1" s="1"/>
      <c r="E1" s="1"/>
      <c r="F1" s="1"/>
      <c r="G1" s="1"/>
    </row>
    <row r="2" ht="43.5" customHeight="1">
      <c r="B2" s="2" t="s">
        <v>0</v>
      </c>
    </row>
    <row r="3" ht="19.5" customHeight="1">
      <c r="B3" s="3" t="s">
        <v>1</v>
      </c>
    </row>
    <row r="4" ht="16.5" customHeight="1">
      <c r="B4" s="4" t="s">
        <v>2</v>
      </c>
    </row>
    <row r="5" ht="42.75" customHeight="1">
      <c r="B5" s="5" t="s">
        <v>3</v>
      </c>
    </row>
    <row r="6">
      <c r="B6" s="6" t="s">
        <v>4</v>
      </c>
      <c r="C6" s="7"/>
      <c r="D6" s="8"/>
      <c r="E6" s="6" t="s">
        <v>5</v>
      </c>
      <c r="F6" s="7"/>
      <c r="G6" s="8"/>
    </row>
    <row r="7" ht="31.5" customHeight="1">
      <c r="B7" s="9" t="s">
        <v>6</v>
      </c>
      <c r="C7" s="7"/>
      <c r="D7" s="8"/>
      <c r="E7" s="9" t="s">
        <v>7</v>
      </c>
      <c r="F7" s="7"/>
      <c r="G7" s="8"/>
    </row>
    <row r="8" ht="33.0" customHeight="1">
      <c r="B8" s="10"/>
      <c r="C8" s="7"/>
      <c r="D8" s="8"/>
      <c r="E8" s="9" t="s">
        <v>8</v>
      </c>
      <c r="F8" s="7"/>
      <c r="G8" s="8"/>
    </row>
    <row r="9">
      <c r="B9" s="1"/>
      <c r="C9" s="1"/>
      <c r="D9" s="1"/>
      <c r="E9" s="1"/>
      <c r="F9" s="1"/>
      <c r="G9" s="1"/>
    </row>
    <row r="10" ht="20.25" customHeight="1">
      <c r="B10" s="11" t="s">
        <v>9</v>
      </c>
    </row>
    <row r="11" ht="21.75" customHeight="1">
      <c r="B11" s="5" t="s">
        <v>10</v>
      </c>
    </row>
    <row r="12">
      <c r="B12" s="6" t="s">
        <v>4</v>
      </c>
      <c r="C12" s="7"/>
      <c r="D12" s="8"/>
      <c r="E12" s="6" t="s">
        <v>5</v>
      </c>
      <c r="F12" s="7"/>
      <c r="G12" s="8"/>
    </row>
    <row r="13" ht="18.75" customHeight="1">
      <c r="B13" s="9" t="s">
        <v>11</v>
      </c>
      <c r="C13" s="7"/>
      <c r="D13" s="8"/>
      <c r="E13" s="9" t="s">
        <v>12</v>
      </c>
      <c r="F13" s="7"/>
      <c r="G13" s="8"/>
    </row>
    <row r="14" ht="30.0" customHeight="1">
      <c r="B14" s="10"/>
      <c r="C14" s="7"/>
      <c r="D14" s="8"/>
      <c r="E14" s="9" t="s">
        <v>13</v>
      </c>
      <c r="F14" s="7"/>
      <c r="G14" s="8"/>
    </row>
    <row r="15" ht="21.75" customHeight="1">
      <c r="B15" s="1"/>
      <c r="C15" s="1"/>
      <c r="D15" s="1"/>
      <c r="E15" s="9" t="s">
        <v>14</v>
      </c>
      <c r="F15" s="7"/>
      <c r="G15" s="8"/>
    </row>
    <row r="16">
      <c r="B16" s="1"/>
      <c r="C16" s="1"/>
      <c r="D16" s="1"/>
      <c r="E16" s="1"/>
      <c r="F16" s="1"/>
      <c r="G16" s="1"/>
    </row>
    <row r="17" ht="19.5" customHeight="1">
      <c r="B17" s="4" t="s">
        <v>15</v>
      </c>
    </row>
    <row r="18" ht="21.0" customHeight="1">
      <c r="B18" s="5" t="s">
        <v>16</v>
      </c>
    </row>
    <row r="19">
      <c r="B19" s="6" t="s">
        <v>4</v>
      </c>
      <c r="C19" s="7"/>
      <c r="D19" s="8"/>
      <c r="E19" s="6" t="s">
        <v>5</v>
      </c>
      <c r="F19" s="7"/>
      <c r="G19" s="8"/>
    </row>
    <row r="20" ht="21.75" customHeight="1">
      <c r="B20" s="9" t="s">
        <v>17</v>
      </c>
      <c r="C20" s="7"/>
      <c r="D20" s="8"/>
      <c r="E20" s="9" t="s">
        <v>18</v>
      </c>
      <c r="F20" s="7"/>
      <c r="G20" s="8"/>
    </row>
    <row r="21" ht="21.75" customHeight="1">
      <c r="B21" s="10" t="s">
        <v>19</v>
      </c>
      <c r="C21" s="7"/>
      <c r="D21" s="8"/>
      <c r="E21" s="9" t="s">
        <v>20</v>
      </c>
      <c r="F21" s="7"/>
      <c r="G21" s="8"/>
    </row>
    <row r="22" ht="22.5" customHeight="1">
      <c r="B22" s="1"/>
      <c r="C22" s="1"/>
      <c r="D22" s="1"/>
      <c r="E22" s="9" t="s">
        <v>21</v>
      </c>
      <c r="F22" s="7"/>
      <c r="G22" s="8"/>
    </row>
    <row r="23">
      <c r="B23" s="1"/>
      <c r="C23" s="1"/>
      <c r="D23" s="1"/>
      <c r="E23" s="1"/>
      <c r="F23" s="1"/>
      <c r="G23" s="1"/>
    </row>
    <row r="24" ht="17.25" customHeight="1">
      <c r="B24" s="4" t="s">
        <v>22</v>
      </c>
    </row>
    <row r="25">
      <c r="B25" s="6" t="s">
        <v>4</v>
      </c>
      <c r="C25" s="7"/>
      <c r="D25" s="8"/>
      <c r="E25" s="6" t="s">
        <v>5</v>
      </c>
      <c r="F25" s="7"/>
      <c r="G25" s="8"/>
    </row>
    <row r="26" ht="19.5" customHeight="1">
      <c r="B26" s="9" t="s">
        <v>17</v>
      </c>
      <c r="C26" s="7"/>
      <c r="D26" s="8"/>
      <c r="E26" s="9" t="s">
        <v>23</v>
      </c>
      <c r="F26" s="7"/>
      <c r="G26" s="8"/>
    </row>
    <row r="27" ht="19.5" customHeight="1">
      <c r="B27" s="10" t="s">
        <v>19</v>
      </c>
      <c r="C27" s="7"/>
      <c r="D27" s="8"/>
      <c r="E27" s="9" t="s">
        <v>24</v>
      </c>
      <c r="F27" s="7"/>
      <c r="G27" s="8"/>
    </row>
    <row r="28" ht="19.5" customHeight="1">
      <c r="B28" s="10" t="s">
        <v>25</v>
      </c>
      <c r="C28" s="7"/>
      <c r="D28" s="8"/>
      <c r="E28" s="9"/>
      <c r="F28" s="7"/>
      <c r="G28" s="8"/>
    </row>
    <row r="29">
      <c r="B29" s="1"/>
      <c r="C29" s="1"/>
      <c r="D29" s="1"/>
      <c r="E29" s="1"/>
      <c r="F29" s="1"/>
      <c r="G29" s="1"/>
    </row>
    <row r="30">
      <c r="B30" s="1"/>
      <c r="C30" s="1"/>
      <c r="D30" s="1"/>
      <c r="E30" s="1"/>
      <c r="F30" s="1"/>
      <c r="G30" s="1"/>
    </row>
    <row r="31">
      <c r="B31" s="1"/>
      <c r="C31" s="1"/>
      <c r="D31" s="1"/>
      <c r="E31" s="1"/>
      <c r="F31" s="1"/>
      <c r="G31" s="1"/>
    </row>
    <row r="32">
      <c r="B32" s="1"/>
      <c r="C32" s="1"/>
      <c r="D32" s="1"/>
      <c r="E32" s="1"/>
      <c r="F32" s="1"/>
      <c r="G32" s="1"/>
    </row>
    <row r="33">
      <c r="B33" s="1"/>
      <c r="C33" s="1"/>
      <c r="D33" s="1"/>
      <c r="E33" s="1"/>
      <c r="F33" s="1"/>
      <c r="G33" s="1"/>
    </row>
    <row r="34">
      <c r="B34" s="1"/>
      <c r="C34" s="1"/>
      <c r="D34" s="1"/>
      <c r="E34" s="1"/>
      <c r="F34" s="1"/>
      <c r="G34" s="1"/>
    </row>
    <row r="35">
      <c r="B35" s="1"/>
      <c r="C35" s="1"/>
      <c r="D35" s="1"/>
      <c r="E35" s="1"/>
      <c r="F35" s="1"/>
      <c r="G35" s="1"/>
    </row>
    <row r="36">
      <c r="B36" s="1"/>
      <c r="C36" s="1"/>
      <c r="D36" s="1"/>
      <c r="E36" s="1"/>
      <c r="F36" s="1"/>
      <c r="G36" s="1"/>
    </row>
    <row r="37">
      <c r="B37" s="1"/>
      <c r="C37" s="1"/>
      <c r="D37" s="1"/>
      <c r="E37" s="1"/>
      <c r="F37" s="1"/>
      <c r="G37" s="1"/>
    </row>
    <row r="38">
      <c r="B38" s="1"/>
      <c r="C38" s="1"/>
      <c r="D38" s="1"/>
      <c r="E38" s="1"/>
      <c r="F38" s="1"/>
      <c r="G38" s="1"/>
    </row>
    <row r="39">
      <c r="B39" s="1"/>
      <c r="C39" s="1"/>
      <c r="D39" s="1"/>
      <c r="E39" s="1"/>
      <c r="F39" s="1"/>
      <c r="G39" s="1"/>
    </row>
    <row r="40">
      <c r="B40" s="1"/>
      <c r="C40" s="1"/>
      <c r="D40" s="1"/>
      <c r="E40" s="1"/>
      <c r="F40" s="1"/>
      <c r="G40" s="1"/>
    </row>
    <row r="41">
      <c r="B41" s="1"/>
      <c r="C41" s="1"/>
      <c r="D41" s="1"/>
      <c r="E41" s="1"/>
      <c r="F41" s="1"/>
      <c r="G41" s="1"/>
    </row>
    <row r="42">
      <c r="B42" s="1"/>
      <c r="C42" s="1"/>
      <c r="D42" s="1"/>
      <c r="E42" s="1"/>
      <c r="F42" s="1"/>
      <c r="G42" s="1"/>
    </row>
    <row r="43">
      <c r="B43" s="1"/>
      <c r="C43" s="1"/>
      <c r="D43" s="1"/>
      <c r="E43" s="1"/>
      <c r="F43" s="1"/>
      <c r="G43" s="1"/>
    </row>
    <row r="44">
      <c r="B44" s="1"/>
      <c r="C44" s="1"/>
      <c r="D44" s="1"/>
      <c r="E44" s="1"/>
      <c r="F44" s="1"/>
      <c r="G44" s="1"/>
    </row>
    <row r="45">
      <c r="B45" s="1"/>
      <c r="C45" s="1"/>
      <c r="D45" s="1"/>
      <c r="E45" s="1"/>
      <c r="F45" s="1"/>
      <c r="G45" s="1"/>
    </row>
    <row r="46">
      <c r="B46" s="1"/>
      <c r="C46" s="1"/>
      <c r="D46" s="1"/>
      <c r="E46" s="1"/>
      <c r="F46" s="1"/>
      <c r="G46" s="1"/>
    </row>
    <row r="47">
      <c r="B47" s="1"/>
      <c r="C47" s="1"/>
      <c r="D47" s="1"/>
      <c r="E47" s="1"/>
      <c r="F47" s="1"/>
      <c r="G47" s="1"/>
    </row>
    <row r="48">
      <c r="B48" s="1"/>
      <c r="C48" s="1"/>
      <c r="D48" s="1"/>
      <c r="E48" s="1"/>
      <c r="F48" s="1"/>
      <c r="G48" s="1"/>
    </row>
    <row r="49">
      <c r="B49" s="1"/>
      <c r="C49" s="1"/>
      <c r="D49" s="1"/>
      <c r="E49" s="1"/>
      <c r="F49" s="1"/>
      <c r="G49" s="1"/>
    </row>
    <row r="50">
      <c r="B50" s="1"/>
      <c r="C50" s="1"/>
      <c r="D50" s="1"/>
      <c r="E50" s="1"/>
      <c r="F50" s="1"/>
      <c r="G50" s="1"/>
    </row>
    <row r="51">
      <c r="B51" s="1"/>
      <c r="C51" s="1"/>
      <c r="D51" s="1"/>
      <c r="E51" s="1"/>
      <c r="F51" s="1"/>
      <c r="G51" s="1"/>
    </row>
    <row r="52">
      <c r="B52" s="1"/>
      <c r="C52" s="1"/>
      <c r="D52" s="1"/>
      <c r="E52" s="1"/>
      <c r="F52" s="1"/>
      <c r="G52" s="1"/>
    </row>
    <row r="53">
      <c r="B53" s="1"/>
      <c r="C53" s="1"/>
      <c r="D53" s="1"/>
      <c r="E53" s="1"/>
      <c r="F53" s="1"/>
      <c r="G53" s="1"/>
    </row>
    <row r="54">
      <c r="B54" s="1"/>
      <c r="C54" s="1"/>
      <c r="D54" s="1"/>
      <c r="E54" s="1"/>
      <c r="F54" s="1"/>
      <c r="G54" s="1"/>
    </row>
    <row r="55">
      <c r="B55" s="1"/>
      <c r="C55" s="1"/>
      <c r="D55" s="1"/>
      <c r="E55" s="1"/>
      <c r="F55" s="1"/>
      <c r="G55" s="1"/>
    </row>
    <row r="56">
      <c r="B56" s="1"/>
      <c r="C56" s="1"/>
      <c r="D56" s="1"/>
      <c r="E56" s="1"/>
      <c r="F56" s="1"/>
      <c r="G56" s="1"/>
    </row>
    <row r="57">
      <c r="B57" s="1"/>
      <c r="C57" s="1"/>
      <c r="D57" s="1"/>
      <c r="E57" s="1"/>
      <c r="F57" s="1"/>
      <c r="G57" s="1"/>
    </row>
    <row r="58">
      <c r="B58" s="1"/>
      <c r="C58" s="1"/>
      <c r="D58" s="1"/>
      <c r="E58" s="1"/>
      <c r="F58" s="1"/>
      <c r="G58" s="1"/>
    </row>
    <row r="59">
      <c r="B59" s="1"/>
      <c r="C59" s="1"/>
      <c r="D59" s="1"/>
      <c r="E59" s="1"/>
      <c r="F59" s="1"/>
      <c r="G59" s="1"/>
    </row>
    <row r="60">
      <c r="B60" s="1"/>
      <c r="C60" s="1"/>
      <c r="D60" s="1"/>
      <c r="E60" s="1"/>
      <c r="F60" s="1"/>
      <c r="G60" s="1"/>
    </row>
    <row r="61">
      <c r="B61" s="1"/>
      <c r="C61" s="1"/>
      <c r="D61" s="1"/>
      <c r="E61" s="1"/>
      <c r="F61" s="1"/>
      <c r="G61" s="1"/>
    </row>
    <row r="62">
      <c r="B62" s="1"/>
      <c r="C62" s="1"/>
      <c r="D62" s="1"/>
      <c r="E62" s="1"/>
      <c r="F62" s="1"/>
      <c r="G62" s="1"/>
    </row>
    <row r="63">
      <c r="B63" s="1"/>
      <c r="C63" s="1"/>
      <c r="D63" s="1"/>
      <c r="E63" s="1"/>
      <c r="F63" s="1"/>
      <c r="G63" s="1"/>
    </row>
    <row r="64">
      <c r="B64" s="1"/>
      <c r="C64" s="1"/>
      <c r="D64" s="1"/>
      <c r="E64" s="1"/>
      <c r="F64" s="1"/>
      <c r="G64" s="1"/>
    </row>
    <row r="65">
      <c r="B65" s="1"/>
      <c r="C65" s="1"/>
      <c r="D65" s="1"/>
      <c r="E65" s="1"/>
      <c r="F65" s="1"/>
      <c r="G65" s="1"/>
    </row>
    <row r="66">
      <c r="B66" s="1"/>
      <c r="C66" s="1"/>
      <c r="D66" s="1"/>
      <c r="E66" s="1"/>
      <c r="F66" s="1"/>
      <c r="G66" s="1"/>
    </row>
    <row r="67">
      <c r="B67" s="1"/>
      <c r="C67" s="1"/>
      <c r="D67" s="1"/>
      <c r="E67" s="1"/>
      <c r="F67" s="1"/>
      <c r="G67" s="1"/>
    </row>
    <row r="68">
      <c r="B68" s="1"/>
      <c r="C68" s="1"/>
      <c r="D68" s="1"/>
      <c r="E68" s="1"/>
      <c r="F68" s="1"/>
      <c r="G68" s="1"/>
    </row>
    <row r="69">
      <c r="B69" s="1"/>
      <c r="C69" s="1"/>
      <c r="D69" s="1"/>
      <c r="E69" s="1"/>
      <c r="F69" s="1"/>
      <c r="G69" s="1"/>
    </row>
    <row r="70">
      <c r="B70" s="1"/>
      <c r="C70" s="1"/>
      <c r="D70" s="1"/>
      <c r="E70" s="1"/>
      <c r="F70" s="1"/>
      <c r="G70" s="1"/>
    </row>
    <row r="71">
      <c r="B71" s="1"/>
      <c r="C71" s="1"/>
      <c r="D71" s="1"/>
      <c r="E71" s="1"/>
      <c r="F71" s="1"/>
      <c r="G71" s="1"/>
    </row>
    <row r="72">
      <c r="B72" s="1"/>
      <c r="C72" s="1"/>
      <c r="D72" s="1"/>
      <c r="E72" s="1"/>
      <c r="F72" s="1"/>
      <c r="G72" s="1"/>
    </row>
    <row r="73">
      <c r="B73" s="1"/>
      <c r="C73" s="1"/>
      <c r="D73" s="1"/>
      <c r="E73" s="1"/>
      <c r="F73" s="1"/>
      <c r="G73" s="1"/>
    </row>
    <row r="74">
      <c r="B74" s="1"/>
      <c r="C74" s="1"/>
      <c r="D74" s="1"/>
      <c r="E74" s="1"/>
      <c r="F74" s="1"/>
      <c r="G74" s="1"/>
    </row>
    <row r="75">
      <c r="B75" s="1"/>
      <c r="C75" s="1"/>
      <c r="D75" s="1"/>
      <c r="E75" s="1"/>
      <c r="F75" s="1"/>
      <c r="G75" s="1"/>
    </row>
    <row r="76">
      <c r="B76" s="1"/>
      <c r="C76" s="1"/>
      <c r="D76" s="1"/>
      <c r="E76" s="1"/>
      <c r="F76" s="1"/>
      <c r="G76" s="1"/>
    </row>
    <row r="77">
      <c r="B77" s="1"/>
      <c r="C77" s="1"/>
      <c r="D77" s="1"/>
      <c r="E77" s="1"/>
      <c r="F77" s="1"/>
      <c r="G77" s="1"/>
    </row>
    <row r="78">
      <c r="B78" s="1"/>
      <c r="C78" s="1"/>
      <c r="D78" s="1"/>
      <c r="E78" s="1"/>
      <c r="F78" s="1"/>
      <c r="G78" s="1"/>
    </row>
    <row r="79">
      <c r="B79" s="1"/>
      <c r="C79" s="1"/>
      <c r="D79" s="1"/>
      <c r="E79" s="1"/>
      <c r="F79" s="1"/>
      <c r="G79" s="1"/>
    </row>
    <row r="80">
      <c r="B80" s="1"/>
      <c r="C80" s="1"/>
      <c r="D80" s="1"/>
      <c r="E80" s="1"/>
      <c r="F80" s="1"/>
      <c r="G80" s="1"/>
    </row>
    <row r="81">
      <c r="B81" s="1"/>
      <c r="C81" s="1"/>
      <c r="D81" s="1"/>
      <c r="E81" s="1"/>
      <c r="F81" s="1"/>
      <c r="G81" s="1"/>
    </row>
    <row r="82">
      <c r="B82" s="1"/>
      <c r="C82" s="1"/>
      <c r="D82" s="1"/>
      <c r="E82" s="1"/>
      <c r="F82" s="1"/>
      <c r="G82" s="1"/>
    </row>
    <row r="83">
      <c r="B83" s="1"/>
      <c r="C83" s="1"/>
      <c r="D83" s="1"/>
      <c r="E83" s="1"/>
      <c r="F83" s="1"/>
      <c r="G83" s="1"/>
    </row>
    <row r="84">
      <c r="B84" s="1"/>
      <c r="C84" s="1"/>
      <c r="D84" s="1"/>
      <c r="E84" s="1"/>
      <c r="F84" s="1"/>
      <c r="G84" s="1"/>
    </row>
    <row r="85">
      <c r="B85" s="1"/>
      <c r="C85" s="1"/>
      <c r="D85" s="1"/>
      <c r="E85" s="1"/>
      <c r="F85" s="1"/>
      <c r="G85" s="1"/>
    </row>
    <row r="86">
      <c r="B86" s="1"/>
      <c r="C86" s="1"/>
      <c r="D86" s="1"/>
      <c r="E86" s="1"/>
      <c r="F86" s="1"/>
      <c r="G86" s="1"/>
    </row>
    <row r="87">
      <c r="B87" s="1"/>
      <c r="C87" s="1"/>
      <c r="D87" s="1"/>
      <c r="E87" s="1"/>
      <c r="F87" s="1"/>
      <c r="G87" s="1"/>
    </row>
    <row r="88">
      <c r="B88" s="1"/>
      <c r="C88" s="1"/>
      <c r="D88" s="1"/>
      <c r="E88" s="1"/>
      <c r="F88" s="1"/>
      <c r="G88" s="1"/>
    </row>
    <row r="89">
      <c r="B89" s="1"/>
      <c r="C89" s="1"/>
      <c r="D89" s="1"/>
      <c r="E89" s="1"/>
      <c r="F89" s="1"/>
      <c r="G89" s="1"/>
    </row>
    <row r="90">
      <c r="B90" s="1"/>
      <c r="C90" s="1"/>
      <c r="D90" s="1"/>
      <c r="E90" s="1"/>
      <c r="F90" s="1"/>
      <c r="G90" s="1"/>
    </row>
    <row r="91">
      <c r="B91" s="1"/>
      <c r="C91" s="1"/>
      <c r="D91" s="1"/>
      <c r="E91" s="1"/>
      <c r="F91" s="1"/>
      <c r="G91" s="1"/>
    </row>
    <row r="92">
      <c r="B92" s="1"/>
      <c r="C92" s="1"/>
      <c r="D92" s="1"/>
      <c r="E92" s="1"/>
      <c r="F92" s="1"/>
      <c r="G92" s="1"/>
    </row>
    <row r="93">
      <c r="B93" s="1"/>
      <c r="C93" s="1"/>
      <c r="D93" s="1"/>
      <c r="E93" s="1"/>
      <c r="F93" s="1"/>
      <c r="G93" s="1"/>
    </row>
    <row r="94">
      <c r="B94" s="1"/>
      <c r="C94" s="1"/>
      <c r="D94" s="1"/>
      <c r="E94" s="1"/>
      <c r="F94" s="1"/>
      <c r="G94" s="1"/>
    </row>
    <row r="95">
      <c r="B95" s="1"/>
      <c r="C95" s="1"/>
      <c r="D95" s="1"/>
      <c r="E95" s="1"/>
      <c r="F95" s="1"/>
      <c r="G95" s="1"/>
    </row>
    <row r="96">
      <c r="B96" s="1"/>
      <c r="C96" s="1"/>
      <c r="D96" s="1"/>
      <c r="E96" s="1"/>
      <c r="F96" s="1"/>
      <c r="G96" s="1"/>
    </row>
    <row r="97">
      <c r="B97" s="1"/>
      <c r="C97" s="1"/>
      <c r="D97" s="1"/>
      <c r="E97" s="1"/>
      <c r="F97" s="1"/>
      <c r="G97" s="1"/>
    </row>
    <row r="98">
      <c r="B98" s="1"/>
      <c r="C98" s="1"/>
      <c r="D98" s="1"/>
      <c r="E98" s="1"/>
      <c r="F98" s="1"/>
      <c r="G98" s="1"/>
    </row>
    <row r="99">
      <c r="B99" s="1"/>
      <c r="C99" s="1"/>
      <c r="D99" s="1"/>
      <c r="E99" s="1"/>
      <c r="F99" s="1"/>
      <c r="G99" s="1"/>
    </row>
    <row r="100">
      <c r="B100" s="1"/>
      <c r="C100" s="1"/>
      <c r="D100" s="1"/>
      <c r="E100" s="1"/>
      <c r="F100" s="1"/>
      <c r="G100" s="1"/>
    </row>
    <row r="101">
      <c r="B101" s="1"/>
      <c r="C101" s="1"/>
      <c r="D101" s="1"/>
      <c r="E101" s="1"/>
      <c r="F101" s="1"/>
      <c r="G101" s="1"/>
    </row>
    <row r="102">
      <c r="B102" s="1"/>
      <c r="C102" s="1"/>
      <c r="D102" s="1"/>
      <c r="E102" s="1"/>
      <c r="F102" s="1"/>
      <c r="G102" s="1"/>
    </row>
    <row r="103">
      <c r="B103" s="1"/>
      <c r="C103" s="1"/>
      <c r="D103" s="1"/>
      <c r="E103" s="1"/>
      <c r="F103" s="1"/>
      <c r="G103" s="1"/>
    </row>
    <row r="104">
      <c r="B104" s="1"/>
      <c r="C104" s="1"/>
      <c r="D104" s="1"/>
      <c r="E104" s="1"/>
      <c r="F104" s="1"/>
      <c r="G104" s="1"/>
    </row>
    <row r="105">
      <c r="B105" s="1"/>
      <c r="C105" s="1"/>
      <c r="D105" s="1"/>
      <c r="E105" s="1"/>
      <c r="F105" s="1"/>
      <c r="G105" s="1"/>
    </row>
    <row r="106">
      <c r="B106" s="1"/>
      <c r="C106" s="1"/>
      <c r="D106" s="1"/>
      <c r="E106" s="1"/>
      <c r="F106" s="1"/>
      <c r="G106" s="1"/>
    </row>
    <row r="107">
      <c r="B107" s="1"/>
      <c r="C107" s="1"/>
      <c r="D107" s="1"/>
      <c r="E107" s="1"/>
      <c r="F107" s="1"/>
      <c r="G107" s="1"/>
    </row>
    <row r="108">
      <c r="B108" s="1"/>
      <c r="C108" s="1"/>
      <c r="D108" s="1"/>
      <c r="E108" s="1"/>
      <c r="F108" s="1"/>
      <c r="G108" s="1"/>
    </row>
    <row r="109">
      <c r="B109" s="1"/>
      <c r="C109" s="1"/>
      <c r="D109" s="1"/>
      <c r="E109" s="1"/>
      <c r="F109" s="1"/>
      <c r="G109" s="1"/>
    </row>
    <row r="110">
      <c r="B110" s="1"/>
      <c r="C110" s="1"/>
      <c r="D110" s="1"/>
      <c r="E110" s="1"/>
      <c r="F110" s="1"/>
      <c r="G110" s="1"/>
    </row>
    <row r="111">
      <c r="B111" s="1"/>
      <c r="C111" s="1"/>
      <c r="D111" s="1"/>
      <c r="E111" s="1"/>
      <c r="F111" s="1"/>
      <c r="G111" s="1"/>
    </row>
    <row r="112">
      <c r="B112" s="1"/>
      <c r="C112" s="1"/>
      <c r="D112" s="1"/>
      <c r="E112" s="1"/>
      <c r="F112" s="1"/>
      <c r="G112" s="1"/>
    </row>
    <row r="113">
      <c r="B113" s="1"/>
      <c r="C113" s="1"/>
      <c r="D113" s="1"/>
      <c r="E113" s="1"/>
      <c r="F113" s="1"/>
      <c r="G113" s="1"/>
    </row>
    <row r="114">
      <c r="B114" s="1"/>
      <c r="C114" s="1"/>
      <c r="D114" s="1"/>
      <c r="E114" s="1"/>
      <c r="F114" s="1"/>
      <c r="G114" s="1"/>
    </row>
    <row r="115">
      <c r="B115" s="1"/>
      <c r="C115" s="1"/>
      <c r="D115" s="1"/>
      <c r="E115" s="1"/>
      <c r="F115" s="1"/>
      <c r="G115" s="1"/>
    </row>
    <row r="116">
      <c r="B116" s="1"/>
      <c r="C116" s="1"/>
      <c r="D116" s="1"/>
      <c r="E116" s="1"/>
      <c r="F116" s="1"/>
      <c r="G116" s="1"/>
    </row>
    <row r="117">
      <c r="B117" s="1"/>
      <c r="C117" s="1"/>
      <c r="D117" s="1"/>
      <c r="E117" s="1"/>
      <c r="F117" s="1"/>
      <c r="G117" s="1"/>
    </row>
    <row r="118">
      <c r="B118" s="1"/>
      <c r="C118" s="1"/>
      <c r="D118" s="1"/>
      <c r="E118" s="1"/>
      <c r="F118" s="1"/>
      <c r="G118" s="1"/>
    </row>
    <row r="119">
      <c r="B119" s="1"/>
      <c r="C119" s="1"/>
      <c r="D119" s="1"/>
      <c r="E119" s="1"/>
      <c r="F119" s="1"/>
      <c r="G119" s="1"/>
    </row>
    <row r="120">
      <c r="B120" s="1"/>
      <c r="C120" s="1"/>
      <c r="D120" s="1"/>
      <c r="E120" s="1"/>
      <c r="F120" s="1"/>
      <c r="G120" s="1"/>
    </row>
    <row r="121">
      <c r="B121" s="1"/>
      <c r="C121" s="1"/>
      <c r="D121" s="1"/>
      <c r="E121" s="1"/>
      <c r="F121" s="1"/>
      <c r="G121" s="1"/>
    </row>
    <row r="122">
      <c r="B122" s="1"/>
      <c r="C122" s="1"/>
      <c r="D122" s="1"/>
      <c r="E122" s="1"/>
      <c r="F122" s="1"/>
      <c r="G122" s="1"/>
    </row>
    <row r="123">
      <c r="B123" s="1"/>
      <c r="C123" s="1"/>
      <c r="D123" s="1"/>
      <c r="E123" s="1"/>
      <c r="F123" s="1"/>
      <c r="G123" s="1"/>
    </row>
    <row r="124">
      <c r="B124" s="1"/>
      <c r="C124" s="1"/>
      <c r="D124" s="1"/>
      <c r="E124" s="1"/>
      <c r="F124" s="1"/>
      <c r="G124" s="1"/>
    </row>
    <row r="125">
      <c r="B125" s="1"/>
      <c r="C125" s="1"/>
      <c r="D125" s="1"/>
      <c r="E125" s="1"/>
      <c r="F125" s="1"/>
      <c r="G125" s="1"/>
    </row>
    <row r="126">
      <c r="B126" s="1"/>
      <c r="C126" s="1"/>
      <c r="D126" s="1"/>
      <c r="E126" s="1"/>
      <c r="F126" s="1"/>
      <c r="G126" s="1"/>
    </row>
    <row r="127">
      <c r="B127" s="1"/>
      <c r="C127" s="1"/>
      <c r="D127" s="1"/>
      <c r="E127" s="1"/>
      <c r="F127" s="1"/>
      <c r="G127" s="1"/>
    </row>
    <row r="128">
      <c r="B128" s="1"/>
      <c r="C128" s="1"/>
      <c r="D128" s="1"/>
      <c r="E128" s="1"/>
      <c r="F128" s="1"/>
      <c r="G128" s="1"/>
    </row>
    <row r="129">
      <c r="B129" s="1"/>
      <c r="C129" s="1"/>
      <c r="D129" s="1"/>
      <c r="E129" s="1"/>
      <c r="F129" s="1"/>
      <c r="G129" s="1"/>
    </row>
    <row r="130">
      <c r="B130" s="1"/>
      <c r="C130" s="1"/>
      <c r="D130" s="1"/>
      <c r="E130" s="1"/>
      <c r="F130" s="1"/>
      <c r="G130" s="1"/>
    </row>
    <row r="131">
      <c r="B131" s="1"/>
      <c r="C131" s="1"/>
      <c r="D131" s="1"/>
      <c r="E131" s="1"/>
      <c r="F131" s="1"/>
      <c r="G131" s="1"/>
    </row>
    <row r="132">
      <c r="B132" s="1"/>
      <c r="C132" s="1"/>
      <c r="D132" s="1"/>
      <c r="E132" s="1"/>
      <c r="F132" s="1"/>
      <c r="G132" s="1"/>
    </row>
    <row r="133">
      <c r="B133" s="1"/>
      <c r="C133" s="1"/>
      <c r="D133" s="1"/>
      <c r="E133" s="1"/>
      <c r="F133" s="1"/>
      <c r="G133" s="1"/>
    </row>
    <row r="134">
      <c r="B134" s="1"/>
      <c r="C134" s="1"/>
      <c r="D134" s="1"/>
      <c r="E134" s="1"/>
      <c r="F134" s="1"/>
      <c r="G134" s="1"/>
    </row>
    <row r="135">
      <c r="B135" s="1"/>
      <c r="C135" s="1"/>
      <c r="D135" s="1"/>
      <c r="E135" s="1"/>
      <c r="F135" s="1"/>
      <c r="G135" s="1"/>
    </row>
    <row r="136">
      <c r="B136" s="1"/>
      <c r="C136" s="1"/>
      <c r="D136" s="1"/>
      <c r="E136" s="1"/>
      <c r="F136" s="1"/>
      <c r="G136" s="1"/>
    </row>
    <row r="137">
      <c r="B137" s="1"/>
      <c r="C137" s="1"/>
      <c r="D137" s="1"/>
      <c r="E137" s="1"/>
      <c r="F137" s="1"/>
      <c r="G137" s="1"/>
    </row>
    <row r="138">
      <c r="B138" s="1"/>
      <c r="C138" s="1"/>
      <c r="D138" s="1"/>
      <c r="E138" s="1"/>
      <c r="F138" s="1"/>
      <c r="G138" s="1"/>
    </row>
    <row r="139">
      <c r="B139" s="1"/>
      <c r="C139" s="1"/>
      <c r="D139" s="1"/>
      <c r="E139" s="1"/>
      <c r="F139" s="1"/>
      <c r="G139" s="1"/>
    </row>
    <row r="140">
      <c r="B140" s="1"/>
      <c r="C140" s="1"/>
      <c r="D140" s="1"/>
      <c r="E140" s="1"/>
      <c r="F140" s="1"/>
      <c r="G140" s="1"/>
    </row>
    <row r="141">
      <c r="B141" s="1"/>
      <c r="C141" s="1"/>
      <c r="D141" s="1"/>
      <c r="E141" s="1"/>
      <c r="F141" s="1"/>
      <c r="G141" s="1"/>
    </row>
    <row r="142">
      <c r="B142" s="1"/>
      <c r="C142" s="1"/>
      <c r="D142" s="1"/>
      <c r="E142" s="1"/>
      <c r="F142" s="1"/>
      <c r="G142" s="1"/>
    </row>
    <row r="143">
      <c r="B143" s="1"/>
      <c r="C143" s="1"/>
      <c r="D143" s="1"/>
      <c r="E143" s="1"/>
      <c r="F143" s="1"/>
      <c r="G143" s="1"/>
    </row>
    <row r="144">
      <c r="B144" s="1"/>
      <c r="C144" s="1"/>
      <c r="D144" s="1"/>
      <c r="E144" s="1"/>
      <c r="F144" s="1"/>
      <c r="G144" s="1"/>
    </row>
    <row r="145">
      <c r="B145" s="1"/>
      <c r="C145" s="1"/>
      <c r="D145" s="1"/>
      <c r="E145" s="1"/>
      <c r="F145" s="1"/>
      <c r="G145" s="1"/>
    </row>
    <row r="146">
      <c r="B146" s="1"/>
      <c r="C146" s="1"/>
      <c r="D146" s="1"/>
      <c r="E146" s="1"/>
      <c r="F146" s="1"/>
      <c r="G146" s="1"/>
    </row>
    <row r="147">
      <c r="B147" s="1"/>
      <c r="C147" s="1"/>
      <c r="D147" s="1"/>
      <c r="E147" s="1"/>
      <c r="F147" s="1"/>
      <c r="G147" s="1"/>
    </row>
    <row r="148">
      <c r="B148" s="1"/>
      <c r="C148" s="1"/>
      <c r="D148" s="1"/>
      <c r="E148" s="1"/>
      <c r="F148" s="1"/>
      <c r="G148" s="1"/>
    </row>
    <row r="149">
      <c r="B149" s="1"/>
      <c r="C149" s="1"/>
      <c r="D149" s="1"/>
      <c r="E149" s="1"/>
      <c r="F149" s="1"/>
      <c r="G149" s="1"/>
    </row>
    <row r="150">
      <c r="B150" s="1"/>
      <c r="C150" s="1"/>
      <c r="D150" s="1"/>
      <c r="E150" s="1"/>
      <c r="F150" s="1"/>
      <c r="G150" s="1"/>
    </row>
    <row r="151">
      <c r="B151" s="1"/>
      <c r="C151" s="1"/>
      <c r="D151" s="1"/>
      <c r="E151" s="1"/>
      <c r="F151" s="1"/>
      <c r="G151" s="1"/>
    </row>
    <row r="152">
      <c r="B152" s="1"/>
      <c r="C152" s="1"/>
      <c r="D152" s="1"/>
      <c r="E152" s="1"/>
      <c r="F152" s="1"/>
      <c r="G152" s="1"/>
    </row>
    <row r="153">
      <c r="B153" s="1"/>
      <c r="C153" s="1"/>
      <c r="D153" s="1"/>
      <c r="E153" s="1"/>
      <c r="F153" s="1"/>
      <c r="G153" s="1"/>
    </row>
    <row r="154">
      <c r="B154" s="1"/>
      <c r="C154" s="1"/>
      <c r="D154" s="1"/>
      <c r="E154" s="1"/>
      <c r="F154" s="1"/>
      <c r="G154" s="1"/>
    </row>
    <row r="155">
      <c r="B155" s="1"/>
      <c r="C155" s="1"/>
      <c r="D155" s="1"/>
      <c r="E155" s="1"/>
      <c r="F155" s="1"/>
      <c r="G155" s="1"/>
    </row>
    <row r="156">
      <c r="B156" s="1"/>
      <c r="C156" s="1"/>
      <c r="D156" s="1"/>
      <c r="E156" s="1"/>
      <c r="F156" s="1"/>
      <c r="G156" s="1"/>
    </row>
    <row r="157">
      <c r="B157" s="1"/>
      <c r="C157" s="1"/>
      <c r="D157" s="1"/>
      <c r="E157" s="1"/>
      <c r="F157" s="1"/>
      <c r="G157" s="1"/>
    </row>
    <row r="158">
      <c r="B158" s="1"/>
      <c r="C158" s="1"/>
      <c r="D158" s="1"/>
      <c r="E158" s="1"/>
      <c r="F158" s="1"/>
      <c r="G158" s="1"/>
    </row>
    <row r="159">
      <c r="B159" s="1"/>
      <c r="C159" s="1"/>
      <c r="D159" s="1"/>
      <c r="E159" s="1"/>
      <c r="F159" s="1"/>
      <c r="G159" s="1"/>
    </row>
    <row r="160">
      <c r="B160" s="1"/>
      <c r="C160" s="1"/>
      <c r="D160" s="1"/>
      <c r="E160" s="1"/>
      <c r="F160" s="1"/>
      <c r="G160" s="1"/>
    </row>
    <row r="161">
      <c r="B161" s="1"/>
      <c r="C161" s="1"/>
      <c r="D161" s="1"/>
      <c r="E161" s="1"/>
      <c r="F161" s="1"/>
      <c r="G161" s="1"/>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sheetData>
  <mergeCells count="37">
    <mergeCell ref="B7:D7"/>
    <mergeCell ref="B8:D8"/>
    <mergeCell ref="B2:G2"/>
    <mergeCell ref="B3:G3"/>
    <mergeCell ref="B4:G4"/>
    <mergeCell ref="B5:G5"/>
    <mergeCell ref="B6:D6"/>
    <mergeCell ref="E6:G6"/>
    <mergeCell ref="E7:G7"/>
    <mergeCell ref="E8:G8"/>
    <mergeCell ref="B10:G10"/>
    <mergeCell ref="B11:G11"/>
    <mergeCell ref="B12:D12"/>
    <mergeCell ref="E12:G12"/>
    <mergeCell ref="B13:D13"/>
    <mergeCell ref="E13:G13"/>
    <mergeCell ref="B14:D14"/>
    <mergeCell ref="E14:G14"/>
    <mergeCell ref="E15:G15"/>
    <mergeCell ref="B17:G17"/>
    <mergeCell ref="B18:G18"/>
    <mergeCell ref="B19:D19"/>
    <mergeCell ref="E19:G19"/>
    <mergeCell ref="B25:D25"/>
    <mergeCell ref="B26:D26"/>
    <mergeCell ref="B27:D27"/>
    <mergeCell ref="B28:D28"/>
    <mergeCell ref="E26:G26"/>
    <mergeCell ref="E27:G27"/>
    <mergeCell ref="E28:G28"/>
    <mergeCell ref="B20:D20"/>
    <mergeCell ref="E20:G20"/>
    <mergeCell ref="B21:D21"/>
    <mergeCell ref="E21:G21"/>
    <mergeCell ref="E22:G22"/>
    <mergeCell ref="B24:G24"/>
    <mergeCell ref="E25:G25"/>
  </mergeCells>
  <hyperlinks>
    <hyperlink display="- Solution 1: Manual" location="'Sol 1 Manual'!A1" ref="B4"/>
    <hyperlink display="- Solution 3: ChatGPT Generate" location="'Sol 3 Generate'!A1" ref="B17"/>
    <hyperlink display="- Solution 4: SQL BigQuery log" location="'Sol 4 SQL Log'!A1" ref="B2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47.13"/>
    <col customWidth="1" min="3" max="3" width="28.75"/>
    <col customWidth="1" min="4" max="4" width="65.0"/>
    <col customWidth="1" hidden="1" min="5" max="5" width="48.25"/>
    <col customWidth="1" hidden="1" min="6" max="6" width="39.13"/>
    <col customWidth="1" hidden="1" min="7" max="7" width="39.5"/>
    <col customWidth="1" hidden="1" min="8" max="8" width="49.88"/>
    <col customWidth="1" hidden="1" min="9" max="9" width="52.63"/>
    <col customWidth="1" min="10" max="10" width="49.88"/>
    <col customWidth="1" min="11" max="11" width="18.5"/>
    <col customWidth="1" min="12" max="12" width="49.88"/>
    <col customWidth="1" min="13" max="13" width="18.5"/>
    <col customWidth="1" min="14" max="14" width="49.88"/>
    <col customWidth="1" min="15" max="15" width="18.5"/>
    <col customWidth="1" min="16" max="16" width="37.38"/>
    <col customWidth="1" min="17" max="17" width="24.75"/>
    <col customWidth="1" min="18" max="18" width="37.38"/>
    <col customWidth="1" min="19" max="19" width="24.75"/>
    <col customWidth="1" min="20" max="20" width="42.0"/>
  </cols>
  <sheetData>
    <row r="1" ht="37.5" customHeight="1">
      <c r="A1" s="12" t="s">
        <v>26</v>
      </c>
      <c r="B1" s="13" t="s">
        <v>27</v>
      </c>
      <c r="C1" s="14" t="s">
        <v>28</v>
      </c>
      <c r="D1" s="12" t="s">
        <v>29</v>
      </c>
      <c r="E1" s="12" t="s">
        <v>30</v>
      </c>
      <c r="F1" s="12" t="s">
        <v>31</v>
      </c>
      <c r="G1" s="12" t="s">
        <v>32</v>
      </c>
      <c r="H1" s="12" t="s">
        <v>33</v>
      </c>
      <c r="I1" s="12" t="s">
        <v>34</v>
      </c>
      <c r="J1" s="12" t="s">
        <v>35</v>
      </c>
      <c r="K1" s="12" t="s">
        <v>36</v>
      </c>
      <c r="L1" s="12" t="s">
        <v>37</v>
      </c>
      <c r="M1" s="12" t="s">
        <v>36</v>
      </c>
      <c r="N1" s="12" t="s">
        <v>38</v>
      </c>
      <c r="O1" s="12" t="s">
        <v>36</v>
      </c>
      <c r="P1" s="12" t="s">
        <v>39</v>
      </c>
      <c r="Q1" s="12" t="s">
        <v>36</v>
      </c>
      <c r="R1" s="12" t="s">
        <v>40</v>
      </c>
      <c r="S1" s="12" t="s">
        <v>36</v>
      </c>
      <c r="T1" s="12" t="s">
        <v>41</v>
      </c>
      <c r="U1" s="15"/>
      <c r="V1" s="15"/>
      <c r="W1" s="15"/>
      <c r="X1" s="15"/>
      <c r="Y1" s="15"/>
      <c r="Z1" s="15"/>
      <c r="AA1" s="15"/>
    </row>
    <row r="2" ht="175.5" customHeight="1">
      <c r="A2" s="16">
        <v>0.0</v>
      </c>
      <c r="B2" s="16" t="s">
        <v>42</v>
      </c>
      <c r="C2" s="17" t="s">
        <v>43</v>
      </c>
      <c r="D2" s="18" t="s">
        <v>44</v>
      </c>
      <c r="E2" s="19"/>
      <c r="F2" s="20" t="s">
        <v>45</v>
      </c>
      <c r="G2" s="21" t="s">
        <v>46</v>
      </c>
      <c r="H2" s="22" t="s">
        <v>47</v>
      </c>
      <c r="I2" s="23" t="s">
        <v>48</v>
      </c>
      <c r="J2" s="23" t="s">
        <v>49</v>
      </c>
      <c r="K2" s="24">
        <v>1.0</v>
      </c>
      <c r="L2" s="23" t="s">
        <v>49</v>
      </c>
      <c r="M2" s="24">
        <v>1.0</v>
      </c>
      <c r="N2" s="23" t="s">
        <v>50</v>
      </c>
      <c r="O2" s="25">
        <v>1.0</v>
      </c>
      <c r="T2" s="26"/>
    </row>
    <row r="3" ht="60.0" customHeight="1">
      <c r="A3" s="16">
        <v>1.0</v>
      </c>
      <c r="B3" s="16" t="s">
        <v>51</v>
      </c>
      <c r="C3" s="17" t="s">
        <v>43</v>
      </c>
      <c r="D3" s="18" t="s">
        <v>52</v>
      </c>
      <c r="E3" s="19"/>
      <c r="F3" s="27" t="s">
        <v>53</v>
      </c>
      <c r="G3" s="28" t="s">
        <v>54</v>
      </c>
      <c r="H3" s="29" t="s">
        <v>55</v>
      </c>
      <c r="I3" s="23" t="s">
        <v>56</v>
      </c>
      <c r="J3" s="23" t="s">
        <v>57</v>
      </c>
      <c r="K3" s="24">
        <v>1.0</v>
      </c>
      <c r="L3" s="23" t="s">
        <v>57</v>
      </c>
      <c r="M3" s="24">
        <v>1.0</v>
      </c>
      <c r="N3" s="23" t="s">
        <v>58</v>
      </c>
      <c r="O3" s="25">
        <v>1.0</v>
      </c>
      <c r="T3" s="26"/>
    </row>
    <row r="4" ht="60.0" customHeight="1">
      <c r="A4" s="16">
        <v>2.0</v>
      </c>
      <c r="B4" s="16" t="s">
        <v>59</v>
      </c>
      <c r="C4" s="17" t="s">
        <v>43</v>
      </c>
      <c r="D4" s="19"/>
      <c r="E4" s="18" t="s">
        <v>60</v>
      </c>
      <c r="F4" s="30" t="s">
        <v>61</v>
      </c>
      <c r="G4" s="31" t="s">
        <v>62</v>
      </c>
      <c r="H4" s="32" t="s">
        <v>63</v>
      </c>
      <c r="I4" s="23" t="s">
        <v>64</v>
      </c>
      <c r="J4" s="23" t="s">
        <v>65</v>
      </c>
      <c r="K4" s="24">
        <v>0.0</v>
      </c>
      <c r="L4" s="23" t="s">
        <v>65</v>
      </c>
      <c r="M4" s="24">
        <v>0.0</v>
      </c>
      <c r="N4" s="23"/>
      <c r="O4" s="25">
        <v>0.0</v>
      </c>
      <c r="T4" s="26"/>
    </row>
    <row r="5" ht="60.0" customHeight="1">
      <c r="A5" s="16">
        <v>3.0</v>
      </c>
      <c r="B5" s="16" t="s">
        <v>66</v>
      </c>
      <c r="C5" s="17" t="s">
        <v>43</v>
      </c>
      <c r="D5" s="18" t="s">
        <v>67</v>
      </c>
      <c r="E5" s="19"/>
      <c r="F5" s="27" t="s">
        <v>68</v>
      </c>
      <c r="G5" s="28" t="s">
        <v>69</v>
      </c>
      <c r="H5" s="29" t="s">
        <v>70</v>
      </c>
      <c r="I5" s="23" t="s">
        <v>71</v>
      </c>
      <c r="J5" s="23" t="s">
        <v>72</v>
      </c>
      <c r="K5" s="24">
        <v>1.0</v>
      </c>
      <c r="L5" s="23" t="s">
        <v>72</v>
      </c>
      <c r="M5" s="24">
        <v>1.0</v>
      </c>
      <c r="N5" s="23" t="s">
        <v>73</v>
      </c>
      <c r="O5" s="25">
        <v>1.0</v>
      </c>
      <c r="T5" s="26"/>
    </row>
    <row r="6" ht="60.0" customHeight="1">
      <c r="A6" s="16">
        <v>4.0</v>
      </c>
      <c r="B6" s="16" t="s">
        <v>74</v>
      </c>
      <c r="C6" s="17" t="s">
        <v>43</v>
      </c>
      <c r="D6" s="18" t="s">
        <v>75</v>
      </c>
      <c r="E6" s="19"/>
      <c r="F6" s="30" t="s">
        <v>76</v>
      </c>
      <c r="G6" s="31" t="s">
        <v>77</v>
      </c>
      <c r="H6" s="32" t="s">
        <v>78</v>
      </c>
      <c r="I6" s="23" t="s">
        <v>79</v>
      </c>
      <c r="J6" s="23" t="s">
        <v>80</v>
      </c>
      <c r="K6" s="24">
        <v>1.0</v>
      </c>
      <c r="L6" s="23" t="s">
        <v>80</v>
      </c>
      <c r="M6" s="24">
        <v>1.0</v>
      </c>
      <c r="N6" s="23" t="s">
        <v>81</v>
      </c>
      <c r="O6" s="25">
        <v>1.0</v>
      </c>
      <c r="T6" s="26"/>
    </row>
    <row r="7" ht="60.0" customHeight="1">
      <c r="A7" s="16">
        <v>5.0</v>
      </c>
      <c r="B7" s="16" t="s">
        <v>82</v>
      </c>
      <c r="C7" s="17" t="s">
        <v>43</v>
      </c>
      <c r="D7" s="33" t="s">
        <v>83</v>
      </c>
      <c r="E7" s="34"/>
      <c r="F7" s="35" t="s">
        <v>84</v>
      </c>
      <c r="G7" s="35" t="s">
        <v>85</v>
      </c>
      <c r="H7" s="33" t="s">
        <v>86</v>
      </c>
      <c r="I7" s="23" t="s">
        <v>87</v>
      </c>
      <c r="J7" s="33" t="s">
        <v>88</v>
      </c>
      <c r="K7" s="24">
        <v>1.0</v>
      </c>
      <c r="L7" s="33" t="s">
        <v>88</v>
      </c>
      <c r="M7" s="24">
        <v>1.0</v>
      </c>
      <c r="N7" s="23" t="s">
        <v>89</v>
      </c>
      <c r="O7" s="25">
        <v>1.0</v>
      </c>
      <c r="T7" s="26"/>
    </row>
    <row r="8" ht="60.0" customHeight="1">
      <c r="A8" s="16">
        <v>6.0</v>
      </c>
      <c r="B8" s="16" t="s">
        <v>90</v>
      </c>
      <c r="C8" s="17" t="s">
        <v>43</v>
      </c>
      <c r="D8" s="33" t="s">
        <v>91</v>
      </c>
      <c r="E8" s="34"/>
      <c r="F8" s="35" t="s">
        <v>92</v>
      </c>
      <c r="G8" s="35" t="s">
        <v>93</v>
      </c>
      <c r="H8" s="33" t="s">
        <v>94</v>
      </c>
      <c r="I8" s="23" t="s">
        <v>95</v>
      </c>
      <c r="J8" s="33" t="s">
        <v>96</v>
      </c>
      <c r="K8" s="24">
        <v>1.0</v>
      </c>
      <c r="L8" s="33" t="s">
        <v>96</v>
      </c>
      <c r="M8" s="24">
        <v>1.0</v>
      </c>
      <c r="N8" s="23" t="s">
        <v>97</v>
      </c>
      <c r="O8" s="25">
        <v>1.0</v>
      </c>
      <c r="T8" s="26"/>
    </row>
    <row r="9" ht="60.0" customHeight="1">
      <c r="A9" s="16">
        <v>7.0</v>
      </c>
      <c r="B9" s="16" t="s">
        <v>98</v>
      </c>
      <c r="C9" s="17" t="s">
        <v>43</v>
      </c>
      <c r="D9" s="33" t="s">
        <v>99</v>
      </c>
      <c r="E9" s="34"/>
      <c r="F9" s="35" t="s">
        <v>100</v>
      </c>
      <c r="G9" s="35" t="s">
        <v>101</v>
      </c>
      <c r="H9" s="33" t="s">
        <v>102</v>
      </c>
      <c r="I9" s="23" t="s">
        <v>103</v>
      </c>
      <c r="J9" s="33" t="s">
        <v>104</v>
      </c>
      <c r="K9" s="24">
        <v>0.5</v>
      </c>
      <c r="L9" s="33" t="s">
        <v>104</v>
      </c>
      <c r="M9" s="24">
        <v>0.5</v>
      </c>
      <c r="N9" s="23" t="s">
        <v>105</v>
      </c>
      <c r="O9" s="25">
        <v>0.5</v>
      </c>
      <c r="T9" s="26"/>
    </row>
    <row r="10" ht="60.0" customHeight="1">
      <c r="A10" s="16">
        <v>8.0</v>
      </c>
      <c r="B10" s="16" t="s">
        <v>106</v>
      </c>
      <c r="C10" s="17" t="s">
        <v>43</v>
      </c>
      <c r="D10" s="33" t="s">
        <v>107</v>
      </c>
      <c r="E10" s="34"/>
      <c r="F10" s="35" t="s">
        <v>108</v>
      </c>
      <c r="G10" s="35" t="s">
        <v>109</v>
      </c>
      <c r="H10" s="33" t="s">
        <v>110</v>
      </c>
      <c r="I10" s="23" t="s">
        <v>111</v>
      </c>
      <c r="J10" s="33" t="s">
        <v>112</v>
      </c>
      <c r="K10" s="24">
        <v>0.5</v>
      </c>
      <c r="L10" s="33" t="s">
        <v>112</v>
      </c>
      <c r="M10" s="24">
        <v>0.5</v>
      </c>
      <c r="N10" s="23" t="s">
        <v>113</v>
      </c>
      <c r="O10" s="25">
        <v>0.5</v>
      </c>
      <c r="T10" s="26"/>
    </row>
    <row r="11" ht="60.0" customHeight="1">
      <c r="A11" s="16">
        <v>9.0</v>
      </c>
      <c r="B11" s="16" t="s">
        <v>114</v>
      </c>
      <c r="C11" s="17" t="s">
        <v>43</v>
      </c>
      <c r="D11" s="33" t="s">
        <v>115</v>
      </c>
      <c r="E11" s="34"/>
      <c r="F11" s="35" t="s">
        <v>116</v>
      </c>
      <c r="G11" s="35" t="s">
        <v>117</v>
      </c>
      <c r="H11" s="33" t="s">
        <v>118</v>
      </c>
      <c r="I11" s="23" t="s">
        <v>119</v>
      </c>
      <c r="J11" s="33" t="s">
        <v>120</v>
      </c>
      <c r="K11" s="24">
        <v>1.0</v>
      </c>
      <c r="L11" s="33" t="s">
        <v>120</v>
      </c>
      <c r="M11" s="24">
        <v>1.0</v>
      </c>
      <c r="N11" s="33" t="s">
        <v>121</v>
      </c>
      <c r="O11" s="25">
        <v>1.0</v>
      </c>
      <c r="T11" s="26"/>
    </row>
    <row r="12" ht="60.0" customHeight="1">
      <c r="A12" s="16">
        <v>10.0</v>
      </c>
      <c r="B12" s="16" t="s">
        <v>122</v>
      </c>
      <c r="C12" s="17" t="s">
        <v>43</v>
      </c>
      <c r="D12" s="33" t="s">
        <v>123</v>
      </c>
      <c r="E12" s="34"/>
      <c r="F12" s="35" t="s">
        <v>124</v>
      </c>
      <c r="G12" s="35" t="s">
        <v>125</v>
      </c>
      <c r="H12" s="33" t="s">
        <v>126</v>
      </c>
      <c r="I12" s="23" t="s">
        <v>127</v>
      </c>
      <c r="J12" s="33" t="s">
        <v>128</v>
      </c>
      <c r="K12" s="24">
        <v>1.0</v>
      </c>
      <c r="L12" s="33" t="s">
        <v>128</v>
      </c>
      <c r="M12" s="24">
        <v>1.0</v>
      </c>
      <c r="N12" s="33" t="s">
        <v>129</v>
      </c>
      <c r="O12" s="25">
        <v>1.0</v>
      </c>
      <c r="T12" s="26"/>
    </row>
    <row r="13" ht="60.0" customHeight="1">
      <c r="A13" s="16">
        <v>11.0</v>
      </c>
      <c r="B13" s="16" t="s">
        <v>130</v>
      </c>
      <c r="C13" s="17" t="s">
        <v>43</v>
      </c>
      <c r="D13" s="33" t="s">
        <v>131</v>
      </c>
      <c r="E13" s="33" t="s">
        <v>132</v>
      </c>
      <c r="F13" s="35" t="s">
        <v>133</v>
      </c>
      <c r="G13" s="35" t="s">
        <v>134</v>
      </c>
      <c r="H13" s="33" t="s">
        <v>135</v>
      </c>
      <c r="I13" s="23" t="s">
        <v>136</v>
      </c>
      <c r="J13" s="33" t="s">
        <v>137</v>
      </c>
      <c r="K13" s="24">
        <v>0.0</v>
      </c>
      <c r="L13" s="33" t="s">
        <v>137</v>
      </c>
      <c r="M13" s="24">
        <v>0.0</v>
      </c>
      <c r="N13" s="23" t="s">
        <v>138</v>
      </c>
      <c r="O13" s="25">
        <v>0.0</v>
      </c>
      <c r="T13" s="36" t="s">
        <v>139</v>
      </c>
    </row>
    <row r="14" ht="60.0" customHeight="1">
      <c r="A14" s="16">
        <v>12.0</v>
      </c>
      <c r="B14" s="16" t="s">
        <v>140</v>
      </c>
      <c r="C14" s="17" t="s">
        <v>43</v>
      </c>
      <c r="D14" s="33" t="s">
        <v>141</v>
      </c>
      <c r="E14" s="33" t="s">
        <v>142</v>
      </c>
      <c r="F14" s="35" t="s">
        <v>143</v>
      </c>
      <c r="G14" s="35" t="s">
        <v>144</v>
      </c>
      <c r="H14" s="33" t="s">
        <v>145</v>
      </c>
      <c r="I14" s="23" t="s">
        <v>146</v>
      </c>
      <c r="J14" s="33" t="s">
        <v>147</v>
      </c>
      <c r="K14" s="24">
        <v>0.0</v>
      </c>
      <c r="L14" s="33" t="s">
        <v>147</v>
      </c>
      <c r="M14" s="24">
        <v>0.0</v>
      </c>
      <c r="N14" s="23" t="s">
        <v>148</v>
      </c>
      <c r="O14" s="25">
        <v>0.5</v>
      </c>
      <c r="T14" s="36" t="s">
        <v>149</v>
      </c>
    </row>
    <row r="15" ht="60.0" customHeight="1">
      <c r="A15" s="16">
        <v>15.0</v>
      </c>
      <c r="B15" s="16" t="s">
        <v>150</v>
      </c>
      <c r="C15" s="17" t="s">
        <v>151</v>
      </c>
      <c r="D15" s="37" t="s">
        <v>152</v>
      </c>
      <c r="E15" s="38"/>
      <c r="F15" s="39" t="s">
        <v>153</v>
      </c>
      <c r="G15" s="39" t="s">
        <v>154</v>
      </c>
      <c r="H15" s="23" t="s">
        <v>155</v>
      </c>
      <c r="I15" s="23" t="s">
        <v>156</v>
      </c>
      <c r="J15" s="23" t="s">
        <v>157</v>
      </c>
      <c r="K15" s="24">
        <v>0.0</v>
      </c>
      <c r="L15" s="23" t="s">
        <v>158</v>
      </c>
      <c r="M15" s="24">
        <v>0.0</v>
      </c>
      <c r="N15" s="23" t="s">
        <v>159</v>
      </c>
      <c r="O15" s="25">
        <v>1.0</v>
      </c>
      <c r="T15" s="36" t="s">
        <v>160</v>
      </c>
    </row>
    <row r="16" ht="60.0" customHeight="1">
      <c r="A16" s="16">
        <v>16.0</v>
      </c>
      <c r="B16" s="16" t="s">
        <v>161</v>
      </c>
      <c r="C16" s="17" t="s">
        <v>151</v>
      </c>
      <c r="D16" s="37" t="s">
        <v>162</v>
      </c>
      <c r="E16" s="38"/>
      <c r="F16" s="39" t="s">
        <v>163</v>
      </c>
      <c r="G16" s="39" t="s">
        <v>164</v>
      </c>
      <c r="H16" s="23" t="s">
        <v>165</v>
      </c>
      <c r="I16" s="23" t="s">
        <v>166</v>
      </c>
      <c r="J16" s="23" t="s">
        <v>167</v>
      </c>
      <c r="K16" s="24">
        <v>1.0</v>
      </c>
      <c r="L16" s="23" t="s">
        <v>167</v>
      </c>
      <c r="M16" s="24">
        <v>1.0</v>
      </c>
      <c r="N16" s="23" t="s">
        <v>168</v>
      </c>
      <c r="O16" s="25">
        <v>1.0</v>
      </c>
      <c r="T16" s="26"/>
    </row>
    <row r="17" ht="60.0" customHeight="1">
      <c r="A17" s="16">
        <v>18.0</v>
      </c>
      <c r="B17" s="16" t="s">
        <v>169</v>
      </c>
      <c r="C17" s="17" t="s">
        <v>151</v>
      </c>
      <c r="D17" s="37" t="s">
        <v>170</v>
      </c>
      <c r="E17" s="38"/>
      <c r="F17" s="39" t="s">
        <v>171</v>
      </c>
      <c r="G17" s="39" t="s">
        <v>172</v>
      </c>
      <c r="H17" s="23" t="s">
        <v>173</v>
      </c>
      <c r="I17" s="23" t="s">
        <v>174</v>
      </c>
      <c r="J17" s="23" t="s">
        <v>175</v>
      </c>
      <c r="K17" s="24">
        <v>0.0</v>
      </c>
      <c r="L17" s="23" t="s">
        <v>175</v>
      </c>
      <c r="M17" s="24">
        <v>0.0</v>
      </c>
      <c r="N17" s="23" t="s">
        <v>176</v>
      </c>
      <c r="O17" s="25">
        <v>1.0</v>
      </c>
      <c r="T17" s="40"/>
    </row>
    <row r="18" ht="60.0" customHeight="1">
      <c r="A18" s="16">
        <v>19.0</v>
      </c>
      <c r="B18" s="16" t="s">
        <v>177</v>
      </c>
      <c r="C18" s="17" t="s">
        <v>151</v>
      </c>
      <c r="D18" s="37" t="s">
        <v>178</v>
      </c>
      <c r="E18" s="23" t="s">
        <v>179</v>
      </c>
      <c r="F18" s="39" t="s">
        <v>180</v>
      </c>
      <c r="G18" s="39" t="s">
        <v>181</v>
      </c>
      <c r="H18" s="23" t="s">
        <v>182</v>
      </c>
      <c r="I18" s="23" t="s">
        <v>183</v>
      </c>
      <c r="J18" s="23" t="s">
        <v>184</v>
      </c>
      <c r="K18" s="24">
        <v>0.0</v>
      </c>
      <c r="L18" s="23" t="s">
        <v>184</v>
      </c>
      <c r="M18" s="24">
        <v>0.0</v>
      </c>
      <c r="N18" s="23" t="s">
        <v>185</v>
      </c>
      <c r="O18" s="25">
        <v>0.2</v>
      </c>
      <c r="T18" s="36" t="s">
        <v>186</v>
      </c>
    </row>
    <row r="19" ht="60.0" customHeight="1">
      <c r="A19" s="16">
        <v>20.0</v>
      </c>
      <c r="B19" s="16" t="s">
        <v>187</v>
      </c>
      <c r="C19" s="17" t="s">
        <v>151</v>
      </c>
      <c r="D19" s="37" t="s">
        <v>188</v>
      </c>
      <c r="E19" s="38"/>
      <c r="F19" s="39" t="s">
        <v>189</v>
      </c>
      <c r="G19" s="39" t="s">
        <v>190</v>
      </c>
      <c r="H19" s="23" t="s">
        <v>191</v>
      </c>
      <c r="I19" s="23" t="s">
        <v>192</v>
      </c>
      <c r="J19" s="23" t="s">
        <v>193</v>
      </c>
      <c r="K19" s="24">
        <v>0.0</v>
      </c>
      <c r="L19" s="23" t="s">
        <v>193</v>
      </c>
      <c r="M19" s="24">
        <v>1.0</v>
      </c>
      <c r="N19" s="23" t="s">
        <v>194</v>
      </c>
      <c r="O19" s="25">
        <v>1.0</v>
      </c>
      <c r="T19" s="36" t="s">
        <v>195</v>
      </c>
    </row>
    <row r="20" ht="60.0" customHeight="1">
      <c r="A20" s="16">
        <v>21.0</v>
      </c>
      <c r="B20" s="16" t="s">
        <v>196</v>
      </c>
      <c r="C20" s="17" t="s">
        <v>151</v>
      </c>
      <c r="D20" s="37" t="s">
        <v>197</v>
      </c>
      <c r="E20" s="38"/>
      <c r="F20" s="39" t="s">
        <v>198</v>
      </c>
      <c r="G20" s="39" t="s">
        <v>199</v>
      </c>
      <c r="H20" s="23" t="s">
        <v>200</v>
      </c>
      <c r="I20" s="23" t="s">
        <v>201</v>
      </c>
      <c r="J20" s="23" t="s">
        <v>202</v>
      </c>
      <c r="K20" s="24">
        <v>1.0</v>
      </c>
      <c r="L20" s="23" t="s">
        <v>202</v>
      </c>
      <c r="M20" s="24">
        <v>1.0</v>
      </c>
      <c r="N20" s="23" t="s">
        <v>203</v>
      </c>
      <c r="O20" s="25">
        <v>1.0</v>
      </c>
      <c r="T20" s="36"/>
    </row>
    <row r="21" ht="60.0" customHeight="1">
      <c r="A21" s="16">
        <v>22.0</v>
      </c>
      <c r="B21" s="36" t="s">
        <v>204</v>
      </c>
      <c r="C21" s="17" t="s">
        <v>205</v>
      </c>
      <c r="D21" s="37" t="s">
        <v>206</v>
      </c>
      <c r="E21" s="38"/>
      <c r="F21" s="41"/>
      <c r="G21" s="41"/>
      <c r="H21" s="42" t="s">
        <v>207</v>
      </c>
      <c r="I21" s="38"/>
      <c r="J21" s="35" t="s">
        <v>208</v>
      </c>
      <c r="K21" s="24">
        <v>1.0</v>
      </c>
      <c r="L21" s="35" t="s">
        <v>208</v>
      </c>
      <c r="M21" s="24">
        <v>1.0</v>
      </c>
      <c r="N21" s="23" t="s">
        <v>209</v>
      </c>
      <c r="O21" s="25">
        <v>1.0</v>
      </c>
      <c r="T21" s="26"/>
    </row>
    <row r="22" ht="60.0" customHeight="1">
      <c r="A22" s="16">
        <v>23.0</v>
      </c>
      <c r="B22" s="36" t="s">
        <v>210</v>
      </c>
      <c r="C22" s="17" t="s">
        <v>205</v>
      </c>
      <c r="D22" s="37" t="s">
        <v>211</v>
      </c>
      <c r="E22" s="38"/>
      <c r="F22" s="41"/>
      <c r="G22" s="41"/>
      <c r="H22" s="42" t="s">
        <v>212</v>
      </c>
      <c r="I22" s="38"/>
      <c r="J22" s="35" t="s">
        <v>213</v>
      </c>
      <c r="K22" s="24">
        <v>0.0</v>
      </c>
      <c r="L22" s="35" t="s">
        <v>213</v>
      </c>
      <c r="M22" s="24">
        <v>0.0</v>
      </c>
      <c r="N22" s="35" t="s">
        <v>214</v>
      </c>
      <c r="O22" s="25">
        <v>1.0</v>
      </c>
      <c r="T22" s="36" t="s">
        <v>215</v>
      </c>
    </row>
    <row r="23" ht="60.0" customHeight="1">
      <c r="A23" s="16">
        <v>24.0</v>
      </c>
      <c r="B23" s="36" t="s">
        <v>216</v>
      </c>
      <c r="C23" s="17" t="s">
        <v>205</v>
      </c>
      <c r="D23" s="37" t="s">
        <v>217</v>
      </c>
      <c r="E23" s="38"/>
      <c r="F23" s="41"/>
      <c r="G23" s="41"/>
      <c r="H23" s="42" t="s">
        <v>218</v>
      </c>
      <c r="I23" s="38"/>
      <c r="J23" s="35" t="s">
        <v>219</v>
      </c>
      <c r="K23" s="24">
        <v>1.0</v>
      </c>
      <c r="L23" s="35" t="s">
        <v>219</v>
      </c>
      <c r="M23" s="24">
        <v>1.0</v>
      </c>
      <c r="N23" s="23" t="s">
        <v>220</v>
      </c>
      <c r="O23" s="25">
        <v>1.0</v>
      </c>
      <c r="T23" s="36" t="s">
        <v>221</v>
      </c>
    </row>
    <row r="24" ht="60.0" customHeight="1">
      <c r="A24" s="16">
        <v>25.0</v>
      </c>
      <c r="B24" s="36" t="s">
        <v>222</v>
      </c>
      <c r="C24" s="17" t="s">
        <v>205</v>
      </c>
      <c r="D24" s="37" t="s">
        <v>223</v>
      </c>
      <c r="E24" s="38"/>
      <c r="F24" s="41"/>
      <c r="G24" s="41"/>
      <c r="H24" s="42" t="s">
        <v>224</v>
      </c>
      <c r="I24" s="38"/>
      <c r="J24" s="35" t="s">
        <v>225</v>
      </c>
      <c r="K24" s="24">
        <v>1.0</v>
      </c>
      <c r="L24" s="35" t="s">
        <v>225</v>
      </c>
      <c r="M24" s="24">
        <v>1.0</v>
      </c>
      <c r="N24" s="23" t="s">
        <v>226</v>
      </c>
      <c r="O24" s="25">
        <v>1.0</v>
      </c>
      <c r="T24" s="36"/>
    </row>
    <row r="25" ht="60.0" customHeight="1">
      <c r="A25" s="16">
        <v>26.0</v>
      </c>
      <c r="B25" s="36" t="s">
        <v>227</v>
      </c>
      <c r="C25" s="17" t="s">
        <v>205</v>
      </c>
      <c r="D25" s="37" t="s">
        <v>228</v>
      </c>
      <c r="E25" s="38"/>
      <c r="F25" s="41"/>
      <c r="G25" s="41"/>
      <c r="H25" s="42" t="s">
        <v>229</v>
      </c>
      <c r="I25" s="38"/>
      <c r="J25" s="35" t="s">
        <v>230</v>
      </c>
      <c r="K25" s="24">
        <v>0.5</v>
      </c>
      <c r="L25" s="35" t="s">
        <v>230</v>
      </c>
      <c r="M25" s="24">
        <v>0.5</v>
      </c>
      <c r="N25" s="23" t="s">
        <v>231</v>
      </c>
      <c r="O25" s="25">
        <v>1.0</v>
      </c>
      <c r="T25" s="36" t="s">
        <v>232</v>
      </c>
    </row>
    <row r="26" ht="60.0" customHeight="1">
      <c r="A26" s="16">
        <v>27.0</v>
      </c>
      <c r="B26" s="36" t="s">
        <v>233</v>
      </c>
      <c r="C26" s="17" t="s">
        <v>205</v>
      </c>
      <c r="D26" s="37" t="s">
        <v>234</v>
      </c>
      <c r="E26" s="38"/>
      <c r="F26" s="41"/>
      <c r="G26" s="41"/>
      <c r="H26" s="42" t="s">
        <v>235</v>
      </c>
      <c r="I26" s="38"/>
      <c r="J26" s="35" t="s">
        <v>236</v>
      </c>
      <c r="K26" s="24">
        <v>0.5</v>
      </c>
      <c r="L26" s="35" t="s">
        <v>236</v>
      </c>
      <c r="M26" s="24">
        <v>0.5</v>
      </c>
      <c r="N26" s="23" t="s">
        <v>237</v>
      </c>
      <c r="O26" s="25">
        <v>0.5</v>
      </c>
      <c r="T26" s="36"/>
    </row>
    <row r="27" ht="60.0" customHeight="1">
      <c r="A27" s="16">
        <v>28.0</v>
      </c>
      <c r="B27" s="36" t="s">
        <v>238</v>
      </c>
      <c r="C27" s="17" t="s">
        <v>205</v>
      </c>
      <c r="D27" s="37" t="s">
        <v>239</v>
      </c>
      <c r="E27" s="38"/>
      <c r="F27" s="41"/>
      <c r="G27" s="41"/>
      <c r="H27" s="42" t="s">
        <v>240</v>
      </c>
      <c r="I27" s="38"/>
      <c r="J27" s="35" t="s">
        <v>241</v>
      </c>
      <c r="K27" s="24">
        <v>1.0</v>
      </c>
      <c r="L27" s="35" t="s">
        <v>241</v>
      </c>
      <c r="M27" s="24">
        <v>1.0</v>
      </c>
      <c r="N27" s="35" t="s">
        <v>242</v>
      </c>
      <c r="O27" s="25">
        <v>1.0</v>
      </c>
      <c r="T27" s="36" t="s">
        <v>243</v>
      </c>
    </row>
    <row r="28" ht="136.5" customHeight="1">
      <c r="A28" s="16">
        <v>29.0</v>
      </c>
      <c r="B28" s="36" t="s">
        <v>244</v>
      </c>
      <c r="C28" s="17" t="s">
        <v>205</v>
      </c>
      <c r="D28" s="37" t="s">
        <v>245</v>
      </c>
      <c r="E28" s="38"/>
      <c r="F28" s="41"/>
      <c r="G28" s="41"/>
      <c r="H28" s="42" t="s">
        <v>246</v>
      </c>
      <c r="I28" s="38"/>
      <c r="J28" s="35" t="s">
        <v>247</v>
      </c>
      <c r="K28" s="24">
        <v>0.0</v>
      </c>
      <c r="L28" s="35" t="s">
        <v>247</v>
      </c>
      <c r="M28" s="24">
        <v>0.0</v>
      </c>
      <c r="N28" s="23" t="s">
        <v>248</v>
      </c>
      <c r="O28" s="25">
        <v>1.0</v>
      </c>
      <c r="T28" s="36" t="s">
        <v>249</v>
      </c>
    </row>
    <row r="29" ht="60.0" customHeight="1">
      <c r="A29" s="16">
        <v>30.0</v>
      </c>
      <c r="B29" s="36" t="s">
        <v>250</v>
      </c>
      <c r="C29" s="17" t="s">
        <v>205</v>
      </c>
      <c r="D29" s="37" t="s">
        <v>251</v>
      </c>
      <c r="E29" s="38"/>
      <c r="F29" s="41"/>
      <c r="G29" s="41"/>
      <c r="H29" s="42" t="s">
        <v>252</v>
      </c>
      <c r="I29" s="38"/>
      <c r="J29" s="35" t="s">
        <v>253</v>
      </c>
      <c r="K29" s="24">
        <v>1.0</v>
      </c>
      <c r="L29" s="35" t="s">
        <v>253</v>
      </c>
      <c r="M29" s="24">
        <v>1.0</v>
      </c>
      <c r="N29" s="23" t="s">
        <v>254</v>
      </c>
      <c r="O29" s="25">
        <v>1.0</v>
      </c>
      <c r="T29" s="36"/>
    </row>
    <row r="30" ht="60.0" customHeight="1">
      <c r="A30" s="16">
        <v>33.0</v>
      </c>
      <c r="B30" s="43" t="s">
        <v>255</v>
      </c>
      <c r="C30" s="17" t="s">
        <v>151</v>
      </c>
      <c r="D30" s="44" t="s">
        <v>256</v>
      </c>
      <c r="E30" s="38"/>
      <c r="F30" s="41"/>
      <c r="G30" s="41"/>
      <c r="H30" s="42" t="s">
        <v>257</v>
      </c>
      <c r="I30" s="38"/>
      <c r="J30" s="35" t="s">
        <v>258</v>
      </c>
      <c r="K30" s="24">
        <v>0.5</v>
      </c>
      <c r="L30" s="35" t="s">
        <v>258</v>
      </c>
      <c r="M30" s="24">
        <v>0.5</v>
      </c>
      <c r="N30" s="45" t="s">
        <v>259</v>
      </c>
      <c r="O30" s="25">
        <v>1.0</v>
      </c>
      <c r="T30" s="36" t="s">
        <v>260</v>
      </c>
    </row>
    <row r="31" ht="60.0" customHeight="1">
      <c r="A31" s="16">
        <v>34.0</v>
      </c>
      <c r="B31" s="43" t="s">
        <v>261</v>
      </c>
      <c r="C31" s="17" t="s">
        <v>151</v>
      </c>
      <c r="D31" s="44" t="s">
        <v>262</v>
      </c>
      <c r="E31" s="38"/>
      <c r="F31" s="41"/>
      <c r="G31" s="41"/>
      <c r="H31" s="42" t="s">
        <v>263</v>
      </c>
      <c r="I31" s="38"/>
      <c r="J31" s="35" t="s">
        <v>264</v>
      </c>
      <c r="K31" s="24">
        <v>0.0</v>
      </c>
      <c r="L31" s="35" t="s">
        <v>264</v>
      </c>
      <c r="M31" s="24">
        <v>0.0</v>
      </c>
      <c r="N31" s="35" t="s">
        <v>265</v>
      </c>
      <c r="O31" s="25">
        <v>0.0</v>
      </c>
      <c r="T31" s="36" t="s">
        <v>266</v>
      </c>
    </row>
    <row r="32" ht="216.75" customHeight="1">
      <c r="A32" s="16">
        <v>35.0</v>
      </c>
      <c r="B32" s="43" t="s">
        <v>169</v>
      </c>
      <c r="C32" s="17" t="s">
        <v>151</v>
      </c>
      <c r="D32" s="44" t="s">
        <v>267</v>
      </c>
      <c r="E32" s="38"/>
      <c r="F32" s="41"/>
      <c r="G32" s="41"/>
      <c r="H32" s="42" t="s">
        <v>268</v>
      </c>
      <c r="I32" s="38"/>
      <c r="J32" s="35" t="s">
        <v>269</v>
      </c>
      <c r="K32" s="24">
        <v>0.0</v>
      </c>
      <c r="L32" s="35" t="s">
        <v>269</v>
      </c>
      <c r="M32" s="24">
        <v>0.0</v>
      </c>
      <c r="N32" s="23" t="s">
        <v>176</v>
      </c>
      <c r="O32" s="25">
        <v>1.0</v>
      </c>
      <c r="T32" s="36" t="s">
        <v>270</v>
      </c>
    </row>
    <row r="33" ht="60.0" customHeight="1">
      <c r="A33" s="16">
        <v>36.0</v>
      </c>
      <c r="B33" s="43" t="s">
        <v>271</v>
      </c>
      <c r="C33" s="17" t="s">
        <v>151</v>
      </c>
      <c r="D33" s="44" t="s">
        <v>272</v>
      </c>
      <c r="E33" s="38"/>
      <c r="F33" s="41"/>
      <c r="G33" s="41"/>
      <c r="H33" s="42" t="s">
        <v>273</v>
      </c>
      <c r="I33" s="38"/>
      <c r="J33" s="35" t="s">
        <v>274</v>
      </c>
      <c r="K33" s="24">
        <v>0.0</v>
      </c>
      <c r="L33" s="35" t="s">
        <v>275</v>
      </c>
      <c r="M33" s="24">
        <v>1.0</v>
      </c>
      <c r="N33" s="35" t="s">
        <v>276</v>
      </c>
      <c r="O33" s="25">
        <v>1.0</v>
      </c>
      <c r="T33" s="36" t="s">
        <v>277</v>
      </c>
    </row>
    <row r="34" ht="60.0" customHeight="1">
      <c r="A34" s="16">
        <v>37.0</v>
      </c>
      <c r="B34" s="43" t="s">
        <v>278</v>
      </c>
      <c r="C34" s="17" t="s">
        <v>151</v>
      </c>
      <c r="D34" s="44" t="s">
        <v>279</v>
      </c>
      <c r="E34" s="38"/>
      <c r="F34" s="41"/>
      <c r="G34" s="41"/>
      <c r="H34" s="42" t="s">
        <v>280</v>
      </c>
      <c r="I34" s="38"/>
      <c r="J34" s="35" t="s">
        <v>281</v>
      </c>
      <c r="K34" s="24">
        <v>0.0</v>
      </c>
      <c r="L34" s="35" t="s">
        <v>281</v>
      </c>
      <c r="M34" s="24">
        <v>0.0</v>
      </c>
      <c r="N34" s="35" t="s">
        <v>282</v>
      </c>
      <c r="O34" s="25">
        <v>1.0</v>
      </c>
      <c r="T34" s="36" t="s">
        <v>283</v>
      </c>
    </row>
    <row r="35" ht="60.0" customHeight="1">
      <c r="A35" s="16">
        <v>38.0</v>
      </c>
      <c r="B35" s="46" t="s">
        <v>284</v>
      </c>
      <c r="C35" s="17" t="s">
        <v>151</v>
      </c>
      <c r="D35" s="47" t="s">
        <v>285</v>
      </c>
      <c r="E35" s="38"/>
      <c r="F35" s="41"/>
      <c r="G35" s="41"/>
      <c r="H35" s="42" t="s">
        <v>286</v>
      </c>
      <c r="I35" s="38"/>
      <c r="J35" s="35" t="s">
        <v>287</v>
      </c>
      <c r="K35" s="24">
        <v>1.0</v>
      </c>
      <c r="L35" s="35" t="s">
        <v>287</v>
      </c>
      <c r="M35" s="24">
        <v>1.0</v>
      </c>
      <c r="N35" s="33" t="s">
        <v>288</v>
      </c>
      <c r="O35" s="25">
        <v>1.0</v>
      </c>
      <c r="T35" s="36" t="s">
        <v>289</v>
      </c>
    </row>
    <row r="36" ht="60.0" customHeight="1">
      <c r="A36" s="16">
        <v>40.0</v>
      </c>
      <c r="B36" s="48" t="s">
        <v>290</v>
      </c>
      <c r="C36" s="17" t="s">
        <v>151</v>
      </c>
      <c r="D36" s="49" t="s">
        <v>291</v>
      </c>
      <c r="E36" s="38"/>
      <c r="F36" s="41"/>
      <c r="G36" s="41"/>
      <c r="H36" s="42"/>
      <c r="I36" s="38"/>
      <c r="J36" s="35" t="s">
        <v>292</v>
      </c>
      <c r="K36" s="25">
        <v>0.0</v>
      </c>
      <c r="L36" s="35" t="s">
        <v>292</v>
      </c>
      <c r="M36" s="25">
        <v>0.0</v>
      </c>
      <c r="N36" s="33" t="s">
        <v>293</v>
      </c>
      <c r="O36" s="25">
        <v>1.0</v>
      </c>
      <c r="T36" s="26"/>
    </row>
    <row r="37" ht="60.0" customHeight="1">
      <c r="A37" s="16">
        <v>41.0</v>
      </c>
      <c r="B37" s="48" t="s">
        <v>294</v>
      </c>
      <c r="C37" s="17" t="s">
        <v>151</v>
      </c>
      <c r="D37" s="49" t="s">
        <v>295</v>
      </c>
      <c r="E37" s="38"/>
      <c r="F37" s="41"/>
      <c r="G37" s="41"/>
      <c r="H37" s="42"/>
      <c r="I37" s="38"/>
      <c r="J37" s="35" t="s">
        <v>296</v>
      </c>
      <c r="K37" s="25">
        <v>0.0</v>
      </c>
      <c r="L37" s="35" t="s">
        <v>297</v>
      </c>
      <c r="M37" s="25">
        <v>0.0</v>
      </c>
      <c r="N37" s="23" t="s">
        <v>298</v>
      </c>
      <c r="O37" s="25">
        <v>0.0</v>
      </c>
      <c r="T37" s="36" t="s">
        <v>299</v>
      </c>
    </row>
    <row r="38" ht="60.0" customHeight="1">
      <c r="A38" s="16">
        <v>39.0</v>
      </c>
      <c r="B38" s="50" t="s">
        <v>300</v>
      </c>
      <c r="C38" s="17" t="s">
        <v>151</v>
      </c>
      <c r="D38" s="35" t="s">
        <v>301</v>
      </c>
      <c r="E38" s="38"/>
      <c r="F38" s="41"/>
      <c r="G38" s="41"/>
      <c r="H38" s="51"/>
      <c r="I38" s="38"/>
      <c r="J38" s="52" t="s">
        <v>302</v>
      </c>
      <c r="K38" s="25">
        <v>0.0</v>
      </c>
      <c r="L38" s="52" t="s">
        <v>302</v>
      </c>
      <c r="M38" s="25">
        <v>1.0</v>
      </c>
      <c r="N38" s="23" t="s">
        <v>303</v>
      </c>
      <c r="O38" s="25">
        <v>0.0</v>
      </c>
      <c r="T38" s="36" t="s">
        <v>304</v>
      </c>
    </row>
    <row r="39" ht="60.0" customHeight="1">
      <c r="A39" s="16">
        <v>42.0</v>
      </c>
      <c r="B39" s="48" t="s">
        <v>305</v>
      </c>
      <c r="C39" s="17" t="s">
        <v>151</v>
      </c>
      <c r="D39" s="35" t="s">
        <v>306</v>
      </c>
      <c r="E39" s="38"/>
      <c r="F39" s="41"/>
      <c r="G39" s="41"/>
      <c r="H39" s="51"/>
      <c r="I39" s="38"/>
      <c r="J39" s="52" t="s">
        <v>302</v>
      </c>
      <c r="K39" s="25">
        <v>0.0</v>
      </c>
      <c r="L39" s="52" t="s">
        <v>302</v>
      </c>
      <c r="M39" s="25">
        <v>0.0</v>
      </c>
      <c r="N39" s="45" t="s">
        <v>307</v>
      </c>
      <c r="O39" s="25">
        <v>0.0</v>
      </c>
      <c r="T39" s="36" t="s">
        <v>308</v>
      </c>
    </row>
    <row r="40" ht="60.0" customHeight="1">
      <c r="A40" s="16">
        <v>43.0</v>
      </c>
      <c r="B40" s="48" t="s">
        <v>309</v>
      </c>
      <c r="C40" s="17" t="s">
        <v>151</v>
      </c>
      <c r="D40" s="35"/>
      <c r="E40" s="38"/>
      <c r="F40" s="41"/>
      <c r="G40" s="41"/>
      <c r="H40" s="51"/>
      <c r="I40" s="38"/>
      <c r="J40" s="52" t="s">
        <v>310</v>
      </c>
      <c r="K40" s="25">
        <v>0.0</v>
      </c>
      <c r="L40" s="52" t="s">
        <v>311</v>
      </c>
      <c r="M40" s="25">
        <v>1.0</v>
      </c>
      <c r="N40" s="23" t="s">
        <v>312</v>
      </c>
      <c r="O40" s="25">
        <v>0.0</v>
      </c>
      <c r="T40" s="36" t="s">
        <v>313</v>
      </c>
    </row>
    <row r="41" ht="60.0" customHeight="1">
      <c r="A41" s="16">
        <v>44.0</v>
      </c>
      <c r="B41" s="48" t="s">
        <v>314</v>
      </c>
      <c r="C41" s="17" t="s">
        <v>151</v>
      </c>
      <c r="D41" s="49" t="s">
        <v>315</v>
      </c>
      <c r="E41" s="38"/>
      <c r="F41" s="41"/>
      <c r="G41" s="41"/>
      <c r="H41" s="51"/>
      <c r="I41" s="38"/>
      <c r="J41" s="53" t="s">
        <v>316</v>
      </c>
      <c r="K41" s="25">
        <v>0.0</v>
      </c>
      <c r="L41" s="53" t="s">
        <v>316</v>
      </c>
      <c r="M41" s="25">
        <v>0.0</v>
      </c>
      <c r="N41" s="23" t="s">
        <v>317</v>
      </c>
      <c r="O41" s="25">
        <v>0.0</v>
      </c>
      <c r="P41" s="54" t="s">
        <v>318</v>
      </c>
      <c r="R41" s="54" t="s">
        <v>319</v>
      </c>
      <c r="T41" s="36" t="s">
        <v>320</v>
      </c>
    </row>
    <row r="42" ht="60.0" customHeight="1">
      <c r="A42" s="16">
        <v>45.0</v>
      </c>
      <c r="B42" s="48" t="s">
        <v>321</v>
      </c>
      <c r="C42" s="17" t="s">
        <v>151</v>
      </c>
      <c r="D42" s="49" t="s">
        <v>322</v>
      </c>
      <c r="E42" s="38"/>
      <c r="F42" s="41"/>
      <c r="G42" s="41"/>
      <c r="H42" s="51"/>
      <c r="I42" s="38"/>
      <c r="J42" s="53" t="s">
        <v>323</v>
      </c>
      <c r="K42" s="25">
        <v>0.0</v>
      </c>
      <c r="L42" s="53" t="s">
        <v>323</v>
      </c>
      <c r="M42" s="25">
        <v>0.0</v>
      </c>
      <c r="N42" s="23" t="s">
        <v>324</v>
      </c>
      <c r="O42" s="25">
        <v>0.0</v>
      </c>
      <c r="P42" s="54" t="s">
        <v>325</v>
      </c>
      <c r="R42" s="54" t="s">
        <v>326</v>
      </c>
      <c r="T42" s="36" t="s">
        <v>327</v>
      </c>
    </row>
    <row r="43" ht="26.25" customHeight="1">
      <c r="A43" s="55"/>
      <c r="B43" s="55"/>
      <c r="D43" s="56"/>
      <c r="E43" s="57"/>
      <c r="H43" s="57"/>
      <c r="I43" s="57"/>
      <c r="J43" s="57"/>
      <c r="K43" s="58">
        <f>SUM(K2:K42)</f>
        <v>18.5</v>
      </c>
      <c r="L43" s="57"/>
      <c r="M43" s="58">
        <f>SUM(M2:M42)</f>
        <v>22.5</v>
      </c>
      <c r="N43" s="57"/>
      <c r="O43" s="58">
        <f>SUM(O2:O42)</f>
        <v>29.2</v>
      </c>
      <c r="T43" s="55"/>
    </row>
    <row r="44" ht="26.25" customHeight="1">
      <c r="A44" s="55"/>
      <c r="B44" s="55"/>
      <c r="D44" s="56"/>
      <c r="E44" s="57"/>
      <c r="H44" s="57"/>
      <c r="I44" s="57"/>
      <c r="J44" s="57"/>
      <c r="K44" s="59">
        <f>K43/43</f>
        <v>0.4302325581</v>
      </c>
      <c r="L44" s="57"/>
      <c r="M44" s="59">
        <f>M43/43</f>
        <v>0.523255814</v>
      </c>
      <c r="N44" s="57"/>
      <c r="O44" s="59">
        <f>O43/43</f>
        <v>0.6790697674</v>
      </c>
      <c r="T44" s="55"/>
    </row>
    <row r="45">
      <c r="A45" s="55"/>
      <c r="B45" s="55"/>
      <c r="D45" s="56"/>
      <c r="E45" s="57"/>
      <c r="H45" s="57"/>
      <c r="I45" s="57"/>
      <c r="J45" s="57"/>
      <c r="L45" s="57"/>
      <c r="N45" s="57"/>
      <c r="T45" s="55"/>
    </row>
    <row r="46">
      <c r="A46" s="55"/>
      <c r="B46" s="55"/>
      <c r="D46" s="56"/>
      <c r="E46" s="57"/>
      <c r="H46" s="57"/>
      <c r="I46" s="57"/>
      <c r="J46" s="57"/>
      <c r="L46" s="57"/>
      <c r="N46" s="57"/>
      <c r="T46" s="55"/>
    </row>
    <row r="47" ht="63.0" customHeight="1">
      <c r="A47" s="36"/>
      <c r="B47" s="36" t="s">
        <v>328</v>
      </c>
      <c r="C47" s="17"/>
      <c r="D47" s="60"/>
      <c r="E47" s="38"/>
      <c r="F47" s="41"/>
      <c r="G47" s="41"/>
      <c r="H47" s="38"/>
      <c r="I47" s="38"/>
      <c r="J47" s="38"/>
      <c r="K47" s="41"/>
      <c r="L47" s="38"/>
      <c r="M47" s="41"/>
      <c r="N47" s="38"/>
      <c r="O47" s="41"/>
      <c r="T47" s="26"/>
    </row>
    <row r="48" ht="60.0" customHeight="1">
      <c r="A48" s="61">
        <v>31.0</v>
      </c>
      <c r="B48" s="62" t="s">
        <v>329</v>
      </c>
      <c r="C48" s="63" t="s">
        <v>151</v>
      </c>
      <c r="D48" s="64" t="s">
        <v>330</v>
      </c>
      <c r="E48" s="65"/>
      <c r="F48" s="66"/>
      <c r="G48" s="66"/>
      <c r="H48" s="67" t="s">
        <v>331</v>
      </c>
      <c r="I48" s="65"/>
      <c r="J48" s="68"/>
      <c r="K48" s="24"/>
      <c r="L48" s="68" t="s">
        <v>332</v>
      </c>
      <c r="M48" s="24"/>
      <c r="N48" s="68"/>
      <c r="O48" s="25"/>
      <c r="T48" s="26"/>
    </row>
    <row r="49" ht="60.0" customHeight="1">
      <c r="A49" s="61">
        <v>32.0</v>
      </c>
      <c r="B49" s="69" t="s">
        <v>333</v>
      </c>
      <c r="C49" s="63" t="s">
        <v>151</v>
      </c>
      <c r="D49" s="64" t="s">
        <v>334</v>
      </c>
      <c r="E49" s="65"/>
      <c r="F49" s="66"/>
      <c r="G49" s="66"/>
      <c r="H49" s="67" t="s">
        <v>335</v>
      </c>
      <c r="I49" s="65"/>
      <c r="J49" s="68"/>
      <c r="K49" s="24"/>
      <c r="L49" s="68" t="s">
        <v>336</v>
      </c>
      <c r="M49" s="24"/>
      <c r="N49" s="68"/>
      <c r="O49" s="25"/>
      <c r="T49" s="26"/>
    </row>
    <row r="50" ht="60.0" customHeight="1">
      <c r="A50" s="61">
        <v>17.0</v>
      </c>
      <c r="B50" s="61" t="s">
        <v>261</v>
      </c>
      <c r="C50" s="63" t="s">
        <v>151</v>
      </c>
      <c r="D50" s="70" t="s">
        <v>337</v>
      </c>
      <c r="E50" s="65"/>
      <c r="F50" s="71" t="s">
        <v>338</v>
      </c>
      <c r="G50" s="71" t="s">
        <v>339</v>
      </c>
      <c r="H50" s="72" t="s">
        <v>340</v>
      </c>
      <c r="I50" s="72" t="s">
        <v>341</v>
      </c>
      <c r="J50" s="72"/>
      <c r="K50" s="24"/>
      <c r="L50" s="72" t="s">
        <v>342</v>
      </c>
      <c r="M50" s="24"/>
      <c r="N50" s="23" t="s">
        <v>343</v>
      </c>
      <c r="O50" s="25"/>
      <c r="T50" s="40" t="s">
        <v>344</v>
      </c>
    </row>
    <row r="51" ht="60.0" customHeight="1">
      <c r="A51" s="16"/>
      <c r="B51" s="16" t="s">
        <v>345</v>
      </c>
      <c r="C51" s="17" t="s">
        <v>151</v>
      </c>
      <c r="D51" s="37"/>
      <c r="E51" s="38"/>
      <c r="F51" s="39"/>
      <c r="G51" s="39"/>
      <c r="H51" s="23"/>
      <c r="I51" s="23"/>
      <c r="J51" s="23"/>
      <c r="K51" s="24"/>
      <c r="L51" s="23"/>
      <c r="M51" s="24"/>
      <c r="N51" s="23" t="s">
        <v>346</v>
      </c>
      <c r="O51" s="25"/>
      <c r="T51" s="40"/>
    </row>
    <row r="52" ht="60.0" customHeight="1">
      <c r="A52" s="16">
        <v>13.0</v>
      </c>
      <c r="B52" s="16" t="s">
        <v>347</v>
      </c>
      <c r="C52" s="17" t="s">
        <v>43</v>
      </c>
      <c r="D52" s="34"/>
      <c r="E52" s="33" t="s">
        <v>348</v>
      </c>
      <c r="F52" s="73" t="s">
        <v>349</v>
      </c>
      <c r="G52" s="44" t="s">
        <v>350</v>
      </c>
      <c r="H52" s="74" t="s">
        <v>351</v>
      </c>
      <c r="I52" s="23" t="s">
        <v>352</v>
      </c>
      <c r="J52" s="33" t="s">
        <v>353</v>
      </c>
      <c r="K52" s="24">
        <v>1.0</v>
      </c>
      <c r="L52" s="33" t="s">
        <v>353</v>
      </c>
      <c r="M52" s="24">
        <v>1.0</v>
      </c>
      <c r="N52" s="23"/>
      <c r="O52" s="25"/>
      <c r="T52" s="26"/>
    </row>
    <row r="53" ht="60.0" customHeight="1">
      <c r="A53" s="16">
        <v>14.0</v>
      </c>
      <c r="B53" s="16" t="s">
        <v>354</v>
      </c>
      <c r="C53" s="17" t="s">
        <v>43</v>
      </c>
      <c r="D53" s="34"/>
      <c r="E53" s="33" t="s">
        <v>355</v>
      </c>
      <c r="F53" s="75" t="s">
        <v>356</v>
      </c>
      <c r="G53" s="47" t="s">
        <v>357</v>
      </c>
      <c r="H53" s="76" t="s">
        <v>358</v>
      </c>
      <c r="I53" s="23" t="s">
        <v>359</v>
      </c>
      <c r="J53" s="33" t="s">
        <v>360</v>
      </c>
      <c r="K53" s="24">
        <v>1.0</v>
      </c>
      <c r="L53" s="33" t="s">
        <v>360</v>
      </c>
      <c r="M53" s="24">
        <v>1.0</v>
      </c>
      <c r="N53" s="23"/>
      <c r="O53" s="25"/>
      <c r="T53" s="26"/>
    </row>
    <row r="54">
      <c r="A54" s="55"/>
      <c r="B54" s="55"/>
      <c r="D54" s="56"/>
      <c r="E54" s="57"/>
      <c r="H54" s="57"/>
      <c r="I54" s="57"/>
      <c r="J54" s="57"/>
      <c r="L54" s="57"/>
      <c r="N54" s="57"/>
      <c r="T54" s="55"/>
    </row>
    <row r="55">
      <c r="A55" s="55"/>
      <c r="B55" s="55"/>
      <c r="D55" s="56"/>
      <c r="E55" s="57"/>
      <c r="H55" s="57"/>
      <c r="I55" s="57"/>
      <c r="J55" s="57"/>
      <c r="L55" s="57"/>
      <c r="N55" s="57"/>
      <c r="T55" s="55"/>
    </row>
    <row r="56">
      <c r="A56" s="55"/>
      <c r="B56" s="55"/>
      <c r="D56" s="56"/>
      <c r="E56" s="57"/>
      <c r="H56" s="57"/>
      <c r="I56" s="57"/>
      <c r="J56" s="57"/>
      <c r="L56" s="57"/>
      <c r="N56" s="57"/>
      <c r="T56" s="55"/>
    </row>
    <row r="57">
      <c r="A57" s="55"/>
      <c r="B57" s="55"/>
      <c r="D57" s="56"/>
      <c r="E57" s="57"/>
      <c r="H57" s="57"/>
      <c r="I57" s="57"/>
      <c r="J57" s="57"/>
      <c r="L57" s="57"/>
      <c r="N57" s="57"/>
      <c r="T57" s="55"/>
    </row>
    <row r="58">
      <c r="A58" s="55"/>
      <c r="B58" s="55"/>
      <c r="D58" s="56"/>
      <c r="E58" s="57"/>
      <c r="H58" s="57"/>
      <c r="I58" s="57"/>
      <c r="J58" s="57"/>
      <c r="L58" s="57"/>
      <c r="N58" s="57"/>
      <c r="T58" s="55"/>
    </row>
    <row r="59">
      <c r="A59" s="55"/>
      <c r="B59" s="55"/>
      <c r="D59" s="56"/>
      <c r="E59" s="57"/>
      <c r="H59" s="57"/>
      <c r="I59" s="57"/>
      <c r="J59" s="57"/>
      <c r="L59" s="57"/>
      <c r="N59" s="57"/>
      <c r="T59" s="55"/>
    </row>
    <row r="60">
      <c r="A60" s="55"/>
      <c r="B60" s="55"/>
      <c r="D60" s="56"/>
      <c r="E60" s="57"/>
      <c r="H60" s="57"/>
      <c r="I60" s="57"/>
      <c r="J60" s="57"/>
      <c r="L60" s="57"/>
      <c r="N60" s="57"/>
      <c r="T60" s="55"/>
    </row>
    <row r="61">
      <c r="A61" s="55"/>
      <c r="B61" s="55"/>
      <c r="D61" s="56"/>
      <c r="E61" s="57"/>
      <c r="H61" s="57"/>
      <c r="I61" s="57"/>
      <c r="J61" s="57"/>
      <c r="L61" s="57"/>
      <c r="N61" s="57"/>
      <c r="T61" s="55"/>
    </row>
    <row r="62">
      <c r="A62" s="55"/>
      <c r="B62" s="55"/>
      <c r="D62" s="56"/>
      <c r="E62" s="57"/>
      <c r="H62" s="57"/>
      <c r="I62" s="57"/>
      <c r="J62" s="57"/>
      <c r="L62" s="57"/>
      <c r="N62" s="57"/>
      <c r="T62" s="55"/>
    </row>
    <row r="63">
      <c r="A63" s="55"/>
      <c r="B63" s="55"/>
      <c r="D63" s="56"/>
      <c r="E63" s="57"/>
      <c r="H63" s="57"/>
      <c r="I63" s="57"/>
      <c r="J63" s="57"/>
      <c r="L63" s="57"/>
      <c r="N63" s="57"/>
      <c r="T63" s="55"/>
    </row>
    <row r="64">
      <c r="A64" s="55"/>
      <c r="B64" s="55"/>
      <c r="D64" s="56"/>
      <c r="E64" s="57"/>
      <c r="H64" s="57"/>
      <c r="I64" s="57"/>
      <c r="J64" s="57"/>
      <c r="L64" s="57"/>
      <c r="N64" s="57"/>
      <c r="T64" s="55"/>
    </row>
    <row r="65">
      <c r="A65" s="55"/>
      <c r="B65" s="55"/>
      <c r="D65" s="56"/>
      <c r="E65" s="57"/>
      <c r="H65" s="57"/>
      <c r="I65" s="57"/>
      <c r="J65" s="57"/>
      <c r="L65" s="57"/>
      <c r="N65" s="57"/>
      <c r="T65" s="55"/>
    </row>
    <row r="66">
      <c r="A66" s="55"/>
      <c r="B66" s="55"/>
      <c r="D66" s="56"/>
      <c r="E66" s="57"/>
      <c r="H66" s="57"/>
      <c r="I66" s="57"/>
      <c r="J66" s="57"/>
      <c r="L66" s="57"/>
      <c r="N66" s="57"/>
      <c r="T66" s="55"/>
    </row>
    <row r="67">
      <c r="A67" s="55"/>
      <c r="B67" s="55"/>
      <c r="D67" s="56"/>
      <c r="E67" s="57"/>
      <c r="H67" s="57"/>
      <c r="I67" s="57"/>
      <c r="J67" s="57"/>
      <c r="L67" s="57"/>
      <c r="N67" s="57"/>
      <c r="T67" s="55"/>
    </row>
    <row r="68">
      <c r="A68" s="55"/>
      <c r="B68" s="55"/>
      <c r="D68" s="56"/>
      <c r="E68" s="57"/>
      <c r="H68" s="57"/>
      <c r="I68" s="57"/>
      <c r="J68" s="57"/>
      <c r="L68" s="57"/>
      <c r="N68" s="57"/>
      <c r="T68" s="55"/>
    </row>
    <row r="69">
      <c r="A69" s="55"/>
      <c r="B69" s="55"/>
      <c r="D69" s="56"/>
      <c r="E69" s="57"/>
      <c r="H69" s="57"/>
      <c r="I69" s="57"/>
      <c r="J69" s="57"/>
      <c r="L69" s="57"/>
      <c r="N69" s="57"/>
      <c r="T69" s="55"/>
    </row>
    <row r="70">
      <c r="A70" s="55"/>
      <c r="B70" s="55"/>
      <c r="D70" s="56"/>
      <c r="E70" s="57"/>
      <c r="H70" s="57"/>
      <c r="I70" s="57"/>
      <c r="J70" s="57"/>
      <c r="L70" s="57"/>
      <c r="N70" s="57"/>
      <c r="T70" s="55"/>
    </row>
    <row r="71">
      <c r="A71" s="55"/>
      <c r="B71" s="55"/>
      <c r="D71" s="56"/>
      <c r="E71" s="57"/>
      <c r="H71" s="57"/>
      <c r="I71" s="57"/>
      <c r="J71" s="57"/>
      <c r="L71" s="57"/>
      <c r="N71" s="57"/>
      <c r="T71" s="55"/>
    </row>
    <row r="72">
      <c r="A72" s="55"/>
      <c r="B72" s="55"/>
      <c r="D72" s="56"/>
      <c r="E72" s="57"/>
      <c r="H72" s="57"/>
      <c r="I72" s="57"/>
      <c r="J72" s="57"/>
      <c r="L72" s="57"/>
      <c r="N72" s="57"/>
      <c r="T72" s="55"/>
    </row>
    <row r="73">
      <c r="A73" s="55"/>
      <c r="B73" s="55"/>
      <c r="D73" s="56"/>
      <c r="E73" s="57"/>
      <c r="H73" s="57"/>
      <c r="I73" s="57"/>
      <c r="J73" s="57"/>
      <c r="L73" s="57"/>
      <c r="N73" s="57"/>
      <c r="T73" s="55"/>
    </row>
    <row r="74">
      <c r="A74" s="55"/>
      <c r="B74" s="55"/>
      <c r="D74" s="56"/>
      <c r="E74" s="57"/>
      <c r="H74" s="57"/>
      <c r="I74" s="57"/>
      <c r="J74" s="57"/>
      <c r="L74" s="57"/>
      <c r="N74" s="57"/>
      <c r="T74" s="55"/>
    </row>
    <row r="75">
      <c r="A75" s="55"/>
      <c r="B75" s="55"/>
      <c r="D75" s="56"/>
      <c r="E75" s="57"/>
      <c r="H75" s="57"/>
      <c r="I75" s="57"/>
      <c r="J75" s="57"/>
      <c r="L75" s="57"/>
      <c r="N75" s="57"/>
      <c r="T75" s="55"/>
    </row>
    <row r="76">
      <c r="A76" s="55"/>
      <c r="B76" s="55"/>
      <c r="D76" s="56"/>
      <c r="E76" s="57"/>
      <c r="H76" s="57"/>
      <c r="I76" s="57"/>
      <c r="J76" s="57"/>
      <c r="L76" s="57"/>
      <c r="N76" s="57"/>
      <c r="T76" s="55"/>
    </row>
    <row r="77">
      <c r="A77" s="55"/>
      <c r="B77" s="55"/>
      <c r="D77" s="56"/>
      <c r="E77" s="57"/>
      <c r="H77" s="57"/>
      <c r="I77" s="57"/>
      <c r="J77" s="57"/>
      <c r="L77" s="57"/>
      <c r="N77" s="57"/>
      <c r="T77" s="55"/>
    </row>
    <row r="78">
      <c r="A78" s="55"/>
      <c r="B78" s="55"/>
      <c r="D78" s="56"/>
      <c r="E78" s="57"/>
      <c r="H78" s="57"/>
      <c r="I78" s="57"/>
      <c r="J78" s="57"/>
      <c r="L78" s="57"/>
      <c r="N78" s="57"/>
      <c r="T78" s="55"/>
    </row>
    <row r="79">
      <c r="A79" s="55"/>
      <c r="B79" s="55"/>
      <c r="D79" s="56"/>
      <c r="E79" s="57"/>
      <c r="H79" s="57"/>
      <c r="I79" s="57"/>
      <c r="J79" s="57"/>
      <c r="L79" s="57"/>
      <c r="N79" s="57"/>
      <c r="T79" s="55"/>
    </row>
    <row r="80">
      <c r="A80" s="55"/>
      <c r="B80" s="55"/>
      <c r="D80" s="56"/>
      <c r="E80" s="57"/>
      <c r="H80" s="57"/>
      <c r="I80" s="57"/>
      <c r="J80" s="57"/>
      <c r="L80" s="57"/>
      <c r="N80" s="57"/>
      <c r="T80" s="55"/>
    </row>
    <row r="81">
      <c r="A81" s="55"/>
      <c r="B81" s="55"/>
      <c r="D81" s="56"/>
      <c r="E81" s="57"/>
      <c r="H81" s="57"/>
      <c r="I81" s="57"/>
      <c r="J81" s="57"/>
      <c r="L81" s="57"/>
      <c r="N81" s="57"/>
      <c r="T81" s="55"/>
    </row>
    <row r="82">
      <c r="A82" s="55"/>
      <c r="B82" s="55"/>
      <c r="D82" s="56"/>
      <c r="E82" s="57"/>
      <c r="H82" s="57"/>
      <c r="I82" s="57"/>
      <c r="J82" s="57"/>
      <c r="L82" s="57"/>
      <c r="N82" s="57"/>
      <c r="T82" s="55"/>
    </row>
    <row r="83">
      <c r="A83" s="55"/>
      <c r="B83" s="55"/>
      <c r="D83" s="56"/>
      <c r="E83" s="57"/>
      <c r="H83" s="57"/>
      <c r="I83" s="57"/>
      <c r="J83" s="57"/>
      <c r="L83" s="57"/>
      <c r="N83" s="57"/>
      <c r="T83" s="55"/>
    </row>
    <row r="84">
      <c r="A84" s="55"/>
      <c r="B84" s="55"/>
      <c r="D84" s="56"/>
      <c r="E84" s="57"/>
      <c r="H84" s="57"/>
      <c r="I84" s="57"/>
      <c r="J84" s="57"/>
      <c r="L84" s="57"/>
      <c r="N84" s="57"/>
      <c r="T84" s="55"/>
    </row>
    <row r="85">
      <c r="A85" s="55"/>
      <c r="B85" s="55"/>
      <c r="D85" s="56"/>
      <c r="E85" s="57"/>
      <c r="H85" s="57"/>
      <c r="I85" s="57"/>
      <c r="J85" s="57"/>
      <c r="L85" s="57"/>
      <c r="N85" s="57"/>
      <c r="T85" s="55"/>
    </row>
    <row r="86">
      <c r="A86" s="55"/>
      <c r="B86" s="55"/>
      <c r="D86" s="56"/>
      <c r="E86" s="57"/>
      <c r="H86" s="57"/>
      <c r="I86" s="57"/>
      <c r="J86" s="57"/>
      <c r="L86" s="57"/>
      <c r="N86" s="57"/>
      <c r="T86" s="55"/>
    </row>
    <row r="87">
      <c r="A87" s="55"/>
      <c r="B87" s="55"/>
      <c r="D87" s="56"/>
      <c r="E87" s="57"/>
      <c r="H87" s="57"/>
      <c r="I87" s="57"/>
      <c r="J87" s="57"/>
      <c r="L87" s="57"/>
      <c r="N87" s="57"/>
      <c r="T87" s="55"/>
    </row>
    <row r="88">
      <c r="A88" s="55"/>
      <c r="B88" s="55"/>
      <c r="D88" s="56"/>
      <c r="E88" s="57"/>
      <c r="H88" s="57"/>
      <c r="I88" s="57"/>
      <c r="J88" s="57"/>
      <c r="L88" s="57"/>
      <c r="N88" s="57"/>
      <c r="T88" s="55"/>
    </row>
    <row r="89">
      <c r="A89" s="55"/>
      <c r="B89" s="55"/>
      <c r="D89" s="56"/>
      <c r="E89" s="57"/>
      <c r="H89" s="57"/>
      <c r="I89" s="57"/>
      <c r="J89" s="57"/>
      <c r="L89" s="57"/>
      <c r="N89" s="57"/>
      <c r="T89" s="55"/>
    </row>
    <row r="90">
      <c r="A90" s="55"/>
      <c r="B90" s="55"/>
      <c r="D90" s="56"/>
      <c r="E90" s="57"/>
      <c r="H90" s="57"/>
      <c r="I90" s="57"/>
      <c r="J90" s="57"/>
      <c r="L90" s="57"/>
      <c r="N90" s="57"/>
      <c r="T90" s="55"/>
    </row>
    <row r="91">
      <c r="A91" s="55"/>
      <c r="B91" s="55"/>
      <c r="D91" s="56"/>
      <c r="E91" s="57"/>
      <c r="H91" s="57"/>
      <c r="I91" s="57"/>
      <c r="J91" s="57"/>
      <c r="L91" s="57"/>
      <c r="N91" s="57"/>
      <c r="T91" s="55"/>
    </row>
    <row r="92">
      <c r="A92" s="55"/>
      <c r="B92" s="55"/>
      <c r="D92" s="56"/>
      <c r="E92" s="57"/>
      <c r="H92" s="57"/>
      <c r="I92" s="57"/>
      <c r="J92" s="57"/>
      <c r="L92" s="57"/>
      <c r="N92" s="57"/>
      <c r="T92" s="55"/>
    </row>
    <row r="93">
      <c r="A93" s="55"/>
      <c r="B93" s="55"/>
      <c r="D93" s="56"/>
      <c r="E93" s="57"/>
      <c r="H93" s="57"/>
      <c r="I93" s="57"/>
      <c r="J93" s="57"/>
      <c r="L93" s="57"/>
      <c r="N93" s="57"/>
      <c r="T93" s="55"/>
    </row>
    <row r="94">
      <c r="A94" s="55"/>
      <c r="B94" s="55"/>
      <c r="D94" s="56"/>
      <c r="E94" s="57"/>
      <c r="H94" s="57"/>
      <c r="I94" s="57"/>
      <c r="J94" s="57"/>
      <c r="L94" s="57"/>
      <c r="N94" s="57"/>
      <c r="T94" s="55"/>
    </row>
    <row r="95">
      <c r="A95" s="55"/>
      <c r="B95" s="55"/>
      <c r="D95" s="56"/>
      <c r="E95" s="57"/>
      <c r="H95" s="57"/>
      <c r="I95" s="57"/>
      <c r="J95" s="57"/>
      <c r="L95" s="57"/>
      <c r="N95" s="57"/>
      <c r="T95" s="55"/>
    </row>
    <row r="96">
      <c r="A96" s="55"/>
      <c r="B96" s="55"/>
      <c r="D96" s="56"/>
      <c r="E96" s="57"/>
      <c r="H96" s="57"/>
      <c r="I96" s="57"/>
      <c r="J96" s="57"/>
      <c r="L96" s="57"/>
      <c r="N96" s="57"/>
      <c r="T96" s="55"/>
    </row>
    <row r="97">
      <c r="A97" s="55"/>
      <c r="B97" s="55"/>
      <c r="D97" s="56"/>
      <c r="E97" s="57"/>
      <c r="H97" s="57"/>
      <c r="I97" s="57"/>
      <c r="J97" s="57"/>
      <c r="L97" s="57"/>
      <c r="N97" s="57"/>
      <c r="T97" s="55"/>
    </row>
    <row r="98">
      <c r="A98" s="55"/>
      <c r="B98" s="55"/>
      <c r="D98" s="56"/>
      <c r="E98" s="57"/>
      <c r="H98" s="57"/>
      <c r="I98" s="57"/>
      <c r="J98" s="57"/>
      <c r="L98" s="57"/>
      <c r="N98" s="57"/>
      <c r="T98" s="55"/>
    </row>
    <row r="99">
      <c r="A99" s="55"/>
      <c r="B99" s="55"/>
      <c r="D99" s="56"/>
      <c r="E99" s="57"/>
      <c r="H99" s="57"/>
      <c r="I99" s="57"/>
      <c r="J99" s="57"/>
      <c r="L99" s="57"/>
      <c r="N99" s="57"/>
      <c r="T99" s="55"/>
    </row>
    <row r="100">
      <c r="A100" s="55"/>
      <c r="B100" s="55"/>
      <c r="D100" s="56"/>
      <c r="E100" s="57"/>
      <c r="H100" s="57"/>
      <c r="I100" s="57"/>
      <c r="J100" s="57"/>
      <c r="L100" s="57"/>
      <c r="N100" s="57"/>
      <c r="T100" s="55"/>
    </row>
    <row r="101">
      <c r="A101" s="55"/>
      <c r="B101" s="55"/>
      <c r="D101" s="56"/>
      <c r="E101" s="57"/>
      <c r="H101" s="57"/>
      <c r="I101" s="57"/>
      <c r="J101" s="57"/>
      <c r="L101" s="57"/>
      <c r="N101" s="57"/>
      <c r="T101" s="55"/>
    </row>
    <row r="102">
      <c r="A102" s="55"/>
      <c r="B102" s="55"/>
      <c r="D102" s="56"/>
      <c r="E102" s="57"/>
      <c r="H102" s="57"/>
      <c r="I102" s="57"/>
      <c r="J102" s="57"/>
      <c r="L102" s="57"/>
      <c r="N102" s="57"/>
      <c r="T102" s="55"/>
    </row>
    <row r="103">
      <c r="A103" s="55"/>
      <c r="B103" s="55"/>
      <c r="D103" s="56"/>
      <c r="E103" s="57"/>
      <c r="H103" s="57"/>
      <c r="I103" s="57"/>
      <c r="J103" s="57"/>
      <c r="L103" s="57"/>
      <c r="N103" s="57"/>
      <c r="T103" s="55"/>
    </row>
    <row r="104">
      <c r="A104" s="55"/>
      <c r="B104" s="55"/>
      <c r="D104" s="56"/>
      <c r="E104" s="57"/>
      <c r="H104" s="57"/>
      <c r="I104" s="57"/>
      <c r="J104" s="57"/>
      <c r="L104" s="57"/>
      <c r="N104" s="57"/>
      <c r="T104" s="55"/>
    </row>
    <row r="105">
      <c r="A105" s="55"/>
      <c r="B105" s="55"/>
      <c r="D105" s="56"/>
      <c r="E105" s="57"/>
      <c r="H105" s="57"/>
      <c r="I105" s="57"/>
      <c r="J105" s="57"/>
      <c r="L105" s="57"/>
      <c r="N105" s="57"/>
      <c r="T105" s="55"/>
    </row>
    <row r="106">
      <c r="A106" s="55"/>
      <c r="B106" s="55"/>
      <c r="D106" s="56"/>
      <c r="E106" s="57"/>
      <c r="H106" s="57"/>
      <c r="I106" s="57"/>
      <c r="J106" s="57"/>
      <c r="L106" s="57"/>
      <c r="N106" s="57"/>
      <c r="T106" s="55"/>
    </row>
    <row r="107">
      <c r="A107" s="55"/>
      <c r="B107" s="55"/>
      <c r="D107" s="56"/>
      <c r="E107" s="57"/>
      <c r="H107" s="57"/>
      <c r="I107" s="57"/>
      <c r="J107" s="57"/>
      <c r="L107" s="57"/>
      <c r="N107" s="57"/>
      <c r="T107" s="55"/>
    </row>
    <row r="108">
      <c r="A108" s="55"/>
      <c r="B108" s="55"/>
      <c r="D108" s="56"/>
      <c r="E108" s="57"/>
      <c r="H108" s="57"/>
      <c r="I108" s="57"/>
      <c r="J108" s="57"/>
      <c r="L108" s="57"/>
      <c r="N108" s="57"/>
      <c r="T108" s="55"/>
    </row>
    <row r="109">
      <c r="A109" s="55"/>
      <c r="B109" s="55"/>
      <c r="D109" s="56"/>
      <c r="E109" s="57"/>
      <c r="H109" s="57"/>
      <c r="I109" s="57"/>
      <c r="J109" s="57"/>
      <c r="L109" s="57"/>
      <c r="N109" s="57"/>
      <c r="T109" s="55"/>
    </row>
    <row r="110">
      <c r="A110" s="55"/>
      <c r="B110" s="55"/>
      <c r="D110" s="56"/>
      <c r="E110" s="57"/>
      <c r="H110" s="57"/>
      <c r="I110" s="57"/>
      <c r="J110" s="57"/>
      <c r="L110" s="57"/>
      <c r="N110" s="57"/>
      <c r="T110" s="55"/>
    </row>
    <row r="111">
      <c r="A111" s="55"/>
      <c r="B111" s="55"/>
      <c r="D111" s="56"/>
      <c r="E111" s="57"/>
      <c r="H111" s="57"/>
      <c r="I111" s="57"/>
      <c r="J111" s="57"/>
      <c r="L111" s="57"/>
      <c r="N111" s="57"/>
      <c r="T111" s="55"/>
    </row>
    <row r="112">
      <c r="A112" s="55"/>
      <c r="B112" s="55"/>
      <c r="D112" s="56"/>
      <c r="E112" s="57"/>
      <c r="H112" s="57"/>
      <c r="I112" s="57"/>
      <c r="J112" s="57"/>
      <c r="L112" s="57"/>
      <c r="N112" s="57"/>
      <c r="T112" s="55"/>
    </row>
    <row r="113">
      <c r="A113" s="55"/>
      <c r="B113" s="55"/>
      <c r="D113" s="56"/>
      <c r="E113" s="57"/>
      <c r="H113" s="57"/>
      <c r="I113" s="57"/>
      <c r="J113" s="57"/>
      <c r="L113" s="57"/>
      <c r="N113" s="57"/>
      <c r="T113" s="55"/>
    </row>
    <row r="114">
      <c r="A114" s="55"/>
      <c r="B114" s="55"/>
      <c r="D114" s="56"/>
      <c r="E114" s="57"/>
      <c r="H114" s="57"/>
      <c r="I114" s="57"/>
      <c r="J114" s="57"/>
      <c r="L114" s="57"/>
      <c r="N114" s="57"/>
      <c r="T114" s="55"/>
    </row>
    <row r="115">
      <c r="A115" s="55"/>
      <c r="B115" s="55"/>
      <c r="D115" s="56"/>
      <c r="E115" s="57"/>
      <c r="H115" s="57"/>
      <c r="I115" s="57"/>
      <c r="J115" s="57"/>
      <c r="L115" s="57"/>
      <c r="N115" s="57"/>
      <c r="T115" s="55"/>
    </row>
    <row r="116">
      <c r="A116" s="55"/>
      <c r="B116" s="55"/>
      <c r="D116" s="56"/>
      <c r="E116" s="57"/>
      <c r="H116" s="57"/>
      <c r="I116" s="57"/>
      <c r="J116" s="57"/>
      <c r="L116" s="57"/>
      <c r="N116" s="57"/>
      <c r="T116" s="55"/>
    </row>
    <row r="117">
      <c r="A117" s="55"/>
      <c r="B117" s="55"/>
      <c r="D117" s="56"/>
      <c r="E117" s="57"/>
      <c r="H117" s="57"/>
      <c r="I117" s="57"/>
      <c r="J117" s="57"/>
      <c r="L117" s="57"/>
      <c r="N117" s="57"/>
      <c r="T117" s="55"/>
    </row>
    <row r="118">
      <c r="A118" s="55"/>
      <c r="B118" s="55"/>
      <c r="D118" s="56"/>
      <c r="E118" s="57"/>
      <c r="H118" s="57"/>
      <c r="I118" s="57"/>
      <c r="J118" s="57"/>
      <c r="L118" s="57"/>
      <c r="N118" s="57"/>
      <c r="T118" s="55"/>
    </row>
    <row r="119">
      <c r="A119" s="55"/>
      <c r="B119" s="55"/>
      <c r="D119" s="56"/>
      <c r="E119" s="57"/>
      <c r="H119" s="57"/>
      <c r="I119" s="57"/>
      <c r="J119" s="57"/>
      <c r="L119" s="57"/>
      <c r="N119" s="57"/>
      <c r="T119" s="55"/>
    </row>
    <row r="120">
      <c r="A120" s="55"/>
      <c r="B120" s="55"/>
      <c r="D120" s="56"/>
      <c r="E120" s="57"/>
      <c r="H120" s="57"/>
      <c r="I120" s="57"/>
      <c r="J120" s="57"/>
      <c r="L120" s="57"/>
      <c r="N120" s="57"/>
      <c r="T120" s="55"/>
    </row>
    <row r="121">
      <c r="A121" s="55"/>
      <c r="B121" s="55"/>
      <c r="D121" s="56"/>
      <c r="E121" s="57"/>
      <c r="H121" s="57"/>
      <c r="I121" s="57"/>
      <c r="J121" s="57"/>
      <c r="L121" s="57"/>
      <c r="N121" s="57"/>
      <c r="T121" s="55"/>
    </row>
    <row r="122">
      <c r="A122" s="55"/>
      <c r="B122" s="55"/>
      <c r="D122" s="56"/>
      <c r="E122" s="57"/>
      <c r="H122" s="57"/>
      <c r="I122" s="57"/>
      <c r="J122" s="57"/>
      <c r="L122" s="57"/>
      <c r="N122" s="57"/>
      <c r="T122" s="55"/>
    </row>
    <row r="123">
      <c r="A123" s="55"/>
      <c r="B123" s="55"/>
      <c r="D123" s="56"/>
      <c r="E123" s="57"/>
      <c r="H123" s="57"/>
      <c r="I123" s="57"/>
      <c r="J123" s="57"/>
      <c r="L123" s="57"/>
      <c r="N123" s="57"/>
      <c r="T123" s="55"/>
    </row>
    <row r="124">
      <c r="A124" s="55"/>
      <c r="B124" s="55"/>
      <c r="D124" s="56"/>
      <c r="E124" s="57"/>
      <c r="H124" s="57"/>
      <c r="I124" s="57"/>
      <c r="J124" s="57"/>
      <c r="L124" s="57"/>
      <c r="N124" s="57"/>
      <c r="T124" s="55"/>
    </row>
    <row r="125">
      <c r="A125" s="55"/>
      <c r="B125" s="55"/>
      <c r="D125" s="56"/>
      <c r="E125" s="57"/>
      <c r="H125" s="57"/>
      <c r="I125" s="57"/>
      <c r="J125" s="57"/>
      <c r="L125" s="57"/>
      <c r="N125" s="57"/>
      <c r="T125" s="55"/>
    </row>
    <row r="126">
      <c r="A126" s="55"/>
      <c r="B126" s="55"/>
      <c r="D126" s="56"/>
      <c r="E126" s="57"/>
      <c r="H126" s="57"/>
      <c r="I126" s="57"/>
      <c r="J126" s="57"/>
      <c r="L126" s="57"/>
      <c r="N126" s="57"/>
      <c r="T126" s="55"/>
    </row>
    <row r="127">
      <c r="A127" s="55"/>
      <c r="B127" s="55"/>
      <c r="D127" s="56"/>
      <c r="E127" s="57"/>
      <c r="H127" s="57"/>
      <c r="I127" s="57"/>
      <c r="J127" s="57"/>
      <c r="L127" s="57"/>
      <c r="N127" s="57"/>
      <c r="T127" s="55"/>
    </row>
    <row r="128">
      <c r="A128" s="55"/>
      <c r="B128" s="55"/>
      <c r="D128" s="56"/>
      <c r="E128" s="57"/>
      <c r="H128" s="57"/>
      <c r="I128" s="57"/>
      <c r="J128" s="57"/>
      <c r="L128" s="57"/>
      <c r="N128" s="57"/>
      <c r="T128" s="55"/>
    </row>
    <row r="129">
      <c r="A129" s="55"/>
      <c r="B129" s="55"/>
      <c r="D129" s="56"/>
      <c r="E129" s="57"/>
      <c r="H129" s="57"/>
      <c r="I129" s="57"/>
      <c r="J129" s="57"/>
      <c r="L129" s="57"/>
      <c r="N129" s="57"/>
      <c r="T129" s="55"/>
    </row>
    <row r="130">
      <c r="A130" s="55"/>
      <c r="B130" s="55"/>
      <c r="D130" s="56"/>
      <c r="E130" s="57"/>
      <c r="H130" s="57"/>
      <c r="I130" s="57"/>
      <c r="J130" s="57"/>
      <c r="L130" s="57"/>
      <c r="N130" s="57"/>
      <c r="T130" s="55"/>
    </row>
    <row r="131">
      <c r="A131" s="55"/>
      <c r="B131" s="55"/>
      <c r="D131" s="56"/>
      <c r="E131" s="57"/>
      <c r="H131" s="57"/>
      <c r="I131" s="57"/>
      <c r="J131" s="57"/>
      <c r="L131" s="57"/>
      <c r="N131" s="57"/>
      <c r="T131" s="55"/>
    </row>
    <row r="132">
      <c r="A132" s="55"/>
      <c r="B132" s="55"/>
      <c r="D132" s="56"/>
      <c r="E132" s="57"/>
      <c r="H132" s="57"/>
      <c r="I132" s="57"/>
      <c r="J132" s="57"/>
      <c r="L132" s="57"/>
      <c r="N132" s="57"/>
      <c r="T132" s="55"/>
    </row>
    <row r="133">
      <c r="A133" s="55"/>
      <c r="B133" s="55"/>
      <c r="D133" s="56"/>
      <c r="E133" s="57"/>
      <c r="H133" s="57"/>
      <c r="I133" s="57"/>
      <c r="J133" s="57"/>
      <c r="L133" s="57"/>
      <c r="N133" s="57"/>
      <c r="T133" s="55"/>
    </row>
    <row r="134">
      <c r="A134" s="55"/>
      <c r="B134" s="55"/>
      <c r="D134" s="56"/>
      <c r="E134" s="57"/>
      <c r="H134" s="57"/>
      <c r="I134" s="57"/>
      <c r="J134" s="57"/>
      <c r="L134" s="57"/>
      <c r="N134" s="57"/>
      <c r="T134" s="55"/>
    </row>
    <row r="135">
      <c r="A135" s="55"/>
      <c r="B135" s="55"/>
      <c r="D135" s="56"/>
      <c r="E135" s="57"/>
      <c r="H135" s="57"/>
      <c r="I135" s="57"/>
      <c r="J135" s="57"/>
      <c r="L135" s="57"/>
      <c r="N135" s="57"/>
      <c r="T135" s="55"/>
    </row>
    <row r="136">
      <c r="A136" s="55"/>
      <c r="B136" s="55"/>
      <c r="D136" s="56"/>
      <c r="E136" s="57"/>
      <c r="H136" s="57"/>
      <c r="I136" s="57"/>
      <c r="J136" s="57"/>
      <c r="L136" s="57"/>
      <c r="N136" s="57"/>
      <c r="T136" s="55"/>
    </row>
    <row r="137">
      <c r="A137" s="55"/>
      <c r="B137" s="55"/>
      <c r="D137" s="56"/>
      <c r="E137" s="57"/>
      <c r="H137" s="57"/>
      <c r="I137" s="57"/>
      <c r="J137" s="57"/>
      <c r="L137" s="57"/>
      <c r="N137" s="57"/>
      <c r="T137" s="55"/>
    </row>
    <row r="138">
      <c r="A138" s="55"/>
      <c r="B138" s="55"/>
      <c r="D138" s="56"/>
      <c r="E138" s="57"/>
      <c r="H138" s="57"/>
      <c r="I138" s="57"/>
      <c r="J138" s="57"/>
      <c r="L138" s="57"/>
      <c r="N138" s="57"/>
      <c r="T138" s="55"/>
    </row>
    <row r="139">
      <c r="A139" s="55"/>
      <c r="B139" s="55"/>
      <c r="D139" s="56"/>
      <c r="E139" s="57"/>
      <c r="H139" s="57"/>
      <c r="I139" s="57"/>
      <c r="J139" s="57"/>
      <c r="L139" s="57"/>
      <c r="N139" s="57"/>
      <c r="T139" s="55"/>
    </row>
    <row r="140">
      <c r="A140" s="55"/>
      <c r="B140" s="55"/>
      <c r="D140" s="56"/>
      <c r="E140" s="57"/>
      <c r="H140" s="57"/>
      <c r="I140" s="57"/>
      <c r="J140" s="57"/>
      <c r="L140" s="57"/>
      <c r="N140" s="57"/>
      <c r="T140" s="55"/>
    </row>
    <row r="141">
      <c r="A141" s="55"/>
      <c r="B141" s="55"/>
      <c r="D141" s="56"/>
      <c r="E141" s="57"/>
      <c r="H141" s="57"/>
      <c r="I141" s="57"/>
      <c r="J141" s="57"/>
      <c r="L141" s="57"/>
      <c r="N141" s="57"/>
      <c r="T141" s="55"/>
    </row>
    <row r="142">
      <c r="A142" s="55"/>
      <c r="B142" s="55"/>
      <c r="D142" s="56"/>
      <c r="E142" s="57"/>
      <c r="H142" s="57"/>
      <c r="I142" s="57"/>
      <c r="J142" s="57"/>
      <c r="L142" s="57"/>
      <c r="N142" s="57"/>
      <c r="T142" s="55"/>
    </row>
    <row r="143">
      <c r="A143" s="55"/>
      <c r="B143" s="55"/>
      <c r="D143" s="56"/>
      <c r="E143" s="57"/>
      <c r="H143" s="57"/>
      <c r="I143" s="57"/>
      <c r="J143" s="57"/>
      <c r="L143" s="57"/>
      <c r="N143" s="57"/>
      <c r="T143" s="55"/>
    </row>
    <row r="144">
      <c r="A144" s="55"/>
      <c r="B144" s="55"/>
      <c r="D144" s="56"/>
      <c r="E144" s="57"/>
      <c r="H144" s="57"/>
      <c r="I144" s="57"/>
      <c r="J144" s="57"/>
      <c r="L144" s="57"/>
      <c r="N144" s="57"/>
      <c r="T144" s="55"/>
    </row>
    <row r="145">
      <c r="A145" s="55"/>
      <c r="B145" s="55"/>
      <c r="D145" s="56"/>
      <c r="E145" s="57"/>
      <c r="H145" s="57"/>
      <c r="I145" s="57"/>
      <c r="J145" s="57"/>
      <c r="L145" s="57"/>
      <c r="N145" s="57"/>
      <c r="T145" s="55"/>
    </row>
    <row r="146">
      <c r="A146" s="55"/>
      <c r="B146" s="55"/>
      <c r="D146" s="56"/>
      <c r="E146" s="57"/>
      <c r="H146" s="57"/>
      <c r="I146" s="57"/>
      <c r="J146" s="57"/>
      <c r="L146" s="57"/>
      <c r="N146" s="57"/>
      <c r="T146" s="55"/>
    </row>
    <row r="147">
      <c r="A147" s="55"/>
      <c r="B147" s="55"/>
      <c r="D147" s="56"/>
      <c r="E147" s="57"/>
      <c r="H147" s="57"/>
      <c r="I147" s="57"/>
      <c r="J147" s="57"/>
      <c r="L147" s="57"/>
      <c r="N147" s="57"/>
      <c r="T147" s="55"/>
    </row>
    <row r="148">
      <c r="A148" s="55"/>
      <c r="B148" s="55"/>
      <c r="D148" s="56"/>
      <c r="E148" s="57"/>
      <c r="H148" s="57"/>
      <c r="I148" s="57"/>
      <c r="J148" s="57"/>
      <c r="L148" s="57"/>
      <c r="N148" s="57"/>
      <c r="T148" s="55"/>
    </row>
    <row r="149">
      <c r="A149" s="55"/>
      <c r="B149" s="55"/>
      <c r="D149" s="56"/>
      <c r="E149" s="57"/>
      <c r="H149" s="57"/>
      <c r="I149" s="57"/>
      <c r="J149" s="57"/>
      <c r="L149" s="57"/>
      <c r="N149" s="57"/>
      <c r="T149" s="55"/>
    </row>
    <row r="150">
      <c r="A150" s="55"/>
      <c r="B150" s="55"/>
      <c r="D150" s="56"/>
      <c r="E150" s="57"/>
      <c r="H150" s="57"/>
      <c r="I150" s="57"/>
      <c r="J150" s="57"/>
      <c r="L150" s="57"/>
      <c r="N150" s="57"/>
      <c r="T150" s="55"/>
    </row>
    <row r="151">
      <c r="A151" s="55"/>
      <c r="B151" s="55"/>
      <c r="D151" s="56"/>
      <c r="E151" s="57"/>
      <c r="H151" s="57"/>
      <c r="I151" s="57"/>
      <c r="J151" s="57"/>
      <c r="L151" s="57"/>
      <c r="N151" s="57"/>
      <c r="T151" s="55"/>
    </row>
    <row r="152">
      <c r="A152" s="55"/>
      <c r="B152" s="55"/>
      <c r="D152" s="56"/>
      <c r="E152" s="57"/>
      <c r="H152" s="57"/>
      <c r="I152" s="57"/>
      <c r="J152" s="57"/>
      <c r="L152" s="57"/>
      <c r="N152" s="57"/>
      <c r="T152" s="55"/>
    </row>
    <row r="153">
      <c r="A153" s="55"/>
      <c r="B153" s="55"/>
      <c r="D153" s="56"/>
      <c r="E153" s="57"/>
      <c r="H153" s="57"/>
      <c r="I153" s="57"/>
      <c r="J153" s="57"/>
      <c r="L153" s="57"/>
      <c r="N153" s="57"/>
      <c r="T153" s="55"/>
    </row>
    <row r="154">
      <c r="A154" s="55"/>
      <c r="B154" s="55"/>
      <c r="D154" s="56"/>
      <c r="E154" s="57"/>
      <c r="H154" s="57"/>
      <c r="I154" s="57"/>
      <c r="J154" s="57"/>
      <c r="L154" s="57"/>
      <c r="N154" s="57"/>
      <c r="T154" s="55"/>
    </row>
    <row r="155">
      <c r="A155" s="55"/>
      <c r="B155" s="55"/>
      <c r="D155" s="56"/>
      <c r="E155" s="57"/>
      <c r="H155" s="57"/>
      <c r="I155" s="57"/>
      <c r="J155" s="57"/>
      <c r="L155" s="57"/>
      <c r="N155" s="57"/>
      <c r="T155" s="55"/>
    </row>
    <row r="156">
      <c r="A156" s="55"/>
      <c r="B156" s="55"/>
      <c r="D156" s="56"/>
      <c r="E156" s="57"/>
      <c r="H156" s="57"/>
      <c r="I156" s="57"/>
      <c r="J156" s="57"/>
      <c r="L156" s="57"/>
      <c r="N156" s="57"/>
      <c r="T156" s="55"/>
    </row>
    <row r="157">
      <c r="A157" s="55"/>
      <c r="B157" s="55"/>
      <c r="D157" s="56"/>
      <c r="E157" s="57"/>
      <c r="H157" s="57"/>
      <c r="I157" s="57"/>
      <c r="J157" s="57"/>
      <c r="L157" s="57"/>
      <c r="N157" s="57"/>
      <c r="T157" s="55"/>
    </row>
    <row r="158">
      <c r="A158" s="55"/>
      <c r="B158" s="55"/>
      <c r="D158" s="56"/>
      <c r="E158" s="57"/>
      <c r="H158" s="57"/>
      <c r="I158" s="57"/>
      <c r="J158" s="57"/>
      <c r="L158" s="57"/>
      <c r="N158" s="57"/>
      <c r="T158" s="55"/>
    </row>
    <row r="159">
      <c r="A159" s="55"/>
      <c r="B159" s="55"/>
      <c r="D159" s="56"/>
      <c r="E159" s="57"/>
      <c r="H159" s="57"/>
      <c r="I159" s="57"/>
      <c r="J159" s="57"/>
      <c r="L159" s="57"/>
      <c r="N159" s="57"/>
      <c r="T159" s="55"/>
    </row>
    <row r="160">
      <c r="A160" s="55"/>
      <c r="B160" s="55"/>
      <c r="D160" s="56"/>
      <c r="E160" s="57"/>
      <c r="H160" s="57"/>
      <c r="I160" s="57"/>
      <c r="J160" s="57"/>
      <c r="L160" s="57"/>
      <c r="N160" s="57"/>
      <c r="T160" s="55"/>
    </row>
    <row r="161">
      <c r="A161" s="55"/>
      <c r="B161" s="55"/>
      <c r="D161" s="56"/>
      <c r="E161" s="57"/>
      <c r="H161" s="57"/>
      <c r="I161" s="57"/>
      <c r="J161" s="57"/>
      <c r="L161" s="57"/>
      <c r="N161" s="57"/>
      <c r="T161" s="55"/>
    </row>
    <row r="162">
      <c r="A162" s="55"/>
      <c r="B162" s="55"/>
      <c r="D162" s="56"/>
      <c r="E162" s="57"/>
      <c r="H162" s="57"/>
      <c r="I162" s="57"/>
      <c r="J162" s="57"/>
      <c r="L162" s="57"/>
      <c r="N162" s="57"/>
      <c r="T162" s="55"/>
    </row>
    <row r="163">
      <c r="A163" s="55"/>
      <c r="B163" s="55"/>
      <c r="D163" s="56"/>
      <c r="E163" s="57"/>
      <c r="H163" s="57"/>
      <c r="I163" s="57"/>
      <c r="J163" s="57"/>
      <c r="L163" s="57"/>
      <c r="N163" s="57"/>
      <c r="T163" s="55"/>
    </row>
    <row r="164">
      <c r="A164" s="55"/>
      <c r="B164" s="55"/>
      <c r="D164" s="56"/>
      <c r="E164" s="57"/>
      <c r="H164" s="57"/>
      <c r="I164" s="57"/>
      <c r="J164" s="57"/>
      <c r="L164" s="57"/>
      <c r="N164" s="57"/>
      <c r="T164" s="55"/>
    </row>
    <row r="165">
      <c r="A165" s="55"/>
      <c r="B165" s="55"/>
      <c r="D165" s="56"/>
      <c r="E165" s="57"/>
      <c r="H165" s="57"/>
      <c r="I165" s="57"/>
      <c r="J165" s="57"/>
      <c r="L165" s="57"/>
      <c r="N165" s="57"/>
      <c r="T165" s="55"/>
    </row>
    <row r="166">
      <c r="A166" s="55"/>
      <c r="B166" s="55"/>
      <c r="D166" s="56"/>
      <c r="E166" s="57"/>
      <c r="H166" s="57"/>
      <c r="I166" s="57"/>
      <c r="J166" s="57"/>
      <c r="L166" s="57"/>
      <c r="N166" s="57"/>
      <c r="T166" s="55"/>
    </row>
    <row r="167">
      <c r="A167" s="55"/>
      <c r="B167" s="55"/>
      <c r="D167" s="56"/>
      <c r="E167" s="57"/>
      <c r="H167" s="57"/>
      <c r="I167" s="57"/>
      <c r="J167" s="57"/>
      <c r="L167" s="57"/>
      <c r="N167" s="57"/>
      <c r="T167" s="55"/>
    </row>
    <row r="168">
      <c r="A168" s="55"/>
      <c r="B168" s="55"/>
      <c r="D168" s="56"/>
      <c r="E168" s="57"/>
      <c r="H168" s="57"/>
      <c r="I168" s="57"/>
      <c r="J168" s="57"/>
      <c r="L168" s="57"/>
      <c r="N168" s="57"/>
      <c r="T168" s="55"/>
    </row>
    <row r="169">
      <c r="A169" s="55"/>
      <c r="B169" s="55"/>
      <c r="D169" s="56"/>
      <c r="E169" s="57"/>
      <c r="H169" s="57"/>
      <c r="I169" s="57"/>
      <c r="J169" s="57"/>
      <c r="L169" s="57"/>
      <c r="N169" s="57"/>
      <c r="T169" s="55"/>
    </row>
    <row r="170">
      <c r="A170" s="55"/>
      <c r="B170" s="55"/>
      <c r="D170" s="56"/>
      <c r="E170" s="57"/>
      <c r="H170" s="57"/>
      <c r="I170" s="57"/>
      <c r="J170" s="57"/>
      <c r="L170" s="57"/>
      <c r="N170" s="57"/>
      <c r="T170" s="55"/>
    </row>
    <row r="171">
      <c r="A171" s="55"/>
      <c r="B171" s="55"/>
      <c r="D171" s="56"/>
      <c r="E171" s="57"/>
      <c r="H171" s="57"/>
      <c r="I171" s="57"/>
      <c r="J171" s="57"/>
      <c r="L171" s="57"/>
      <c r="N171" s="57"/>
      <c r="T171" s="55"/>
    </row>
    <row r="172">
      <c r="A172" s="55"/>
      <c r="B172" s="55"/>
      <c r="D172" s="56"/>
      <c r="E172" s="57"/>
      <c r="H172" s="57"/>
      <c r="I172" s="57"/>
      <c r="J172" s="57"/>
      <c r="L172" s="57"/>
      <c r="N172" s="57"/>
      <c r="T172" s="55"/>
    </row>
    <row r="173">
      <c r="A173" s="55"/>
      <c r="B173" s="55"/>
      <c r="D173" s="56"/>
      <c r="E173" s="57"/>
      <c r="H173" s="57"/>
      <c r="I173" s="57"/>
      <c r="J173" s="57"/>
      <c r="L173" s="57"/>
      <c r="N173" s="57"/>
      <c r="T173" s="55"/>
    </row>
    <row r="174">
      <c r="A174" s="55"/>
      <c r="B174" s="55"/>
      <c r="D174" s="56"/>
      <c r="E174" s="57"/>
      <c r="H174" s="57"/>
      <c r="I174" s="57"/>
      <c r="J174" s="57"/>
      <c r="L174" s="57"/>
      <c r="N174" s="57"/>
      <c r="T174" s="55"/>
    </row>
    <row r="175">
      <c r="A175" s="55"/>
      <c r="B175" s="55"/>
      <c r="D175" s="56"/>
      <c r="E175" s="57"/>
      <c r="H175" s="57"/>
      <c r="I175" s="57"/>
      <c r="J175" s="57"/>
      <c r="L175" s="57"/>
      <c r="N175" s="57"/>
      <c r="T175" s="55"/>
    </row>
    <row r="176">
      <c r="A176" s="55"/>
      <c r="B176" s="55"/>
      <c r="D176" s="56"/>
      <c r="E176" s="57"/>
      <c r="H176" s="57"/>
      <c r="I176" s="57"/>
      <c r="J176" s="57"/>
      <c r="L176" s="57"/>
      <c r="N176" s="57"/>
      <c r="T176" s="55"/>
    </row>
    <row r="177">
      <c r="A177" s="55"/>
      <c r="B177" s="55"/>
      <c r="D177" s="56"/>
      <c r="E177" s="57"/>
      <c r="H177" s="57"/>
      <c r="I177" s="57"/>
      <c r="J177" s="57"/>
      <c r="L177" s="57"/>
      <c r="N177" s="57"/>
      <c r="T177" s="55"/>
    </row>
    <row r="178">
      <c r="A178" s="55"/>
      <c r="B178" s="55"/>
      <c r="D178" s="56"/>
      <c r="E178" s="57"/>
      <c r="H178" s="57"/>
      <c r="I178" s="57"/>
      <c r="J178" s="57"/>
      <c r="L178" s="57"/>
      <c r="N178" s="57"/>
      <c r="T178" s="55"/>
    </row>
    <row r="179">
      <c r="A179" s="55"/>
      <c r="B179" s="55"/>
      <c r="D179" s="56"/>
      <c r="E179" s="57"/>
      <c r="H179" s="57"/>
      <c r="I179" s="57"/>
      <c r="J179" s="57"/>
      <c r="L179" s="57"/>
      <c r="N179" s="57"/>
      <c r="T179" s="55"/>
    </row>
    <row r="180">
      <c r="A180" s="55"/>
      <c r="B180" s="55"/>
      <c r="D180" s="56"/>
      <c r="E180" s="57"/>
      <c r="H180" s="57"/>
      <c r="I180" s="57"/>
      <c r="J180" s="57"/>
      <c r="L180" s="57"/>
      <c r="N180" s="57"/>
      <c r="T180" s="55"/>
    </row>
    <row r="181">
      <c r="A181" s="55"/>
      <c r="B181" s="55"/>
      <c r="D181" s="56"/>
      <c r="E181" s="57"/>
      <c r="H181" s="57"/>
      <c r="I181" s="57"/>
      <c r="J181" s="57"/>
      <c r="L181" s="57"/>
      <c r="N181" s="57"/>
      <c r="T181" s="55"/>
    </row>
    <row r="182">
      <c r="A182" s="55"/>
      <c r="B182" s="55"/>
      <c r="D182" s="56"/>
      <c r="E182" s="57"/>
      <c r="H182" s="57"/>
      <c r="I182" s="57"/>
      <c r="J182" s="57"/>
      <c r="L182" s="57"/>
      <c r="N182" s="57"/>
      <c r="T182" s="55"/>
    </row>
    <row r="183">
      <c r="A183" s="55"/>
      <c r="B183" s="55"/>
      <c r="D183" s="56"/>
      <c r="E183" s="57"/>
      <c r="H183" s="57"/>
      <c r="I183" s="57"/>
      <c r="J183" s="57"/>
      <c r="L183" s="57"/>
      <c r="N183" s="57"/>
      <c r="T183" s="55"/>
    </row>
    <row r="184">
      <c r="A184" s="55"/>
      <c r="B184" s="55"/>
      <c r="D184" s="56"/>
      <c r="E184" s="57"/>
      <c r="H184" s="57"/>
      <c r="I184" s="57"/>
      <c r="J184" s="57"/>
      <c r="L184" s="57"/>
      <c r="N184" s="57"/>
      <c r="T184" s="55"/>
    </row>
    <row r="185">
      <c r="A185" s="55"/>
      <c r="B185" s="55"/>
      <c r="D185" s="56"/>
      <c r="E185" s="57"/>
      <c r="H185" s="57"/>
      <c r="I185" s="57"/>
      <c r="J185" s="57"/>
      <c r="L185" s="57"/>
      <c r="N185" s="57"/>
      <c r="T185" s="55"/>
    </row>
    <row r="186">
      <c r="A186" s="55"/>
      <c r="B186" s="55"/>
      <c r="D186" s="56"/>
      <c r="E186" s="57"/>
      <c r="H186" s="57"/>
      <c r="I186" s="57"/>
      <c r="J186" s="57"/>
      <c r="L186" s="57"/>
      <c r="N186" s="57"/>
      <c r="T186" s="55"/>
    </row>
    <row r="187">
      <c r="A187" s="55"/>
      <c r="B187" s="55"/>
      <c r="D187" s="56"/>
      <c r="E187" s="57"/>
      <c r="H187" s="57"/>
      <c r="I187" s="57"/>
      <c r="J187" s="57"/>
      <c r="L187" s="57"/>
      <c r="N187" s="57"/>
      <c r="T187" s="55"/>
    </row>
    <row r="188">
      <c r="A188" s="55"/>
      <c r="B188" s="55"/>
      <c r="D188" s="56"/>
      <c r="E188" s="57"/>
      <c r="H188" s="57"/>
      <c r="I188" s="57"/>
      <c r="J188" s="57"/>
      <c r="L188" s="57"/>
      <c r="N188" s="57"/>
      <c r="T188" s="55"/>
    </row>
    <row r="189">
      <c r="A189" s="55"/>
      <c r="B189" s="55"/>
      <c r="D189" s="56"/>
      <c r="E189" s="57"/>
      <c r="H189" s="57"/>
      <c r="I189" s="57"/>
      <c r="J189" s="57"/>
      <c r="L189" s="57"/>
      <c r="N189" s="57"/>
      <c r="T189" s="55"/>
    </row>
    <row r="190">
      <c r="A190" s="55"/>
      <c r="B190" s="55"/>
      <c r="D190" s="56"/>
      <c r="E190" s="57"/>
      <c r="H190" s="57"/>
      <c r="I190" s="57"/>
      <c r="J190" s="57"/>
      <c r="L190" s="57"/>
      <c r="N190" s="57"/>
      <c r="T190" s="55"/>
    </row>
    <row r="191">
      <c r="A191" s="55"/>
      <c r="B191" s="55"/>
      <c r="D191" s="56"/>
      <c r="E191" s="57"/>
      <c r="H191" s="57"/>
      <c r="I191" s="57"/>
      <c r="J191" s="57"/>
      <c r="L191" s="57"/>
      <c r="N191" s="57"/>
      <c r="T191" s="55"/>
    </row>
    <row r="192">
      <c r="A192" s="55"/>
      <c r="B192" s="55"/>
      <c r="D192" s="56"/>
      <c r="E192" s="57"/>
      <c r="H192" s="57"/>
      <c r="I192" s="57"/>
      <c r="J192" s="57"/>
      <c r="L192" s="57"/>
      <c r="N192" s="57"/>
      <c r="T192" s="55"/>
    </row>
    <row r="193">
      <c r="A193" s="55"/>
      <c r="B193" s="55"/>
      <c r="D193" s="56"/>
      <c r="E193" s="57"/>
      <c r="H193" s="57"/>
      <c r="I193" s="57"/>
      <c r="J193" s="57"/>
      <c r="L193" s="57"/>
      <c r="N193" s="57"/>
      <c r="T193" s="55"/>
    </row>
    <row r="194">
      <c r="A194" s="55"/>
      <c r="B194" s="55"/>
      <c r="D194" s="56"/>
      <c r="E194" s="57"/>
      <c r="H194" s="57"/>
      <c r="I194" s="57"/>
      <c r="J194" s="57"/>
      <c r="L194" s="57"/>
      <c r="N194" s="57"/>
      <c r="T194" s="55"/>
    </row>
    <row r="195">
      <c r="A195" s="55"/>
      <c r="B195" s="55"/>
      <c r="D195" s="56"/>
      <c r="E195" s="57"/>
      <c r="H195" s="57"/>
      <c r="I195" s="57"/>
      <c r="J195" s="57"/>
      <c r="L195" s="57"/>
      <c r="N195" s="57"/>
      <c r="T195" s="55"/>
    </row>
    <row r="196">
      <c r="A196" s="55"/>
      <c r="B196" s="55"/>
      <c r="D196" s="56"/>
      <c r="E196" s="57"/>
      <c r="H196" s="57"/>
      <c r="I196" s="57"/>
      <c r="J196" s="57"/>
      <c r="L196" s="57"/>
      <c r="N196" s="57"/>
      <c r="T196" s="55"/>
    </row>
    <row r="197">
      <c r="A197" s="55"/>
      <c r="B197" s="55"/>
      <c r="D197" s="56"/>
      <c r="E197" s="57"/>
      <c r="H197" s="57"/>
      <c r="I197" s="57"/>
      <c r="J197" s="57"/>
      <c r="L197" s="57"/>
      <c r="N197" s="57"/>
      <c r="T197" s="55"/>
    </row>
    <row r="198">
      <c r="A198" s="55"/>
      <c r="B198" s="55"/>
      <c r="D198" s="56"/>
      <c r="E198" s="57"/>
      <c r="H198" s="57"/>
      <c r="I198" s="57"/>
      <c r="J198" s="57"/>
      <c r="L198" s="57"/>
      <c r="N198" s="57"/>
      <c r="T198" s="55"/>
    </row>
    <row r="199">
      <c r="A199" s="55"/>
      <c r="B199" s="55"/>
      <c r="D199" s="56"/>
      <c r="E199" s="57"/>
      <c r="H199" s="57"/>
      <c r="I199" s="57"/>
      <c r="J199" s="57"/>
      <c r="L199" s="57"/>
      <c r="N199" s="57"/>
      <c r="T199" s="55"/>
    </row>
    <row r="200">
      <c r="A200" s="55"/>
      <c r="B200" s="55"/>
      <c r="D200" s="56"/>
      <c r="E200" s="57"/>
      <c r="H200" s="57"/>
      <c r="I200" s="57"/>
      <c r="J200" s="57"/>
      <c r="L200" s="57"/>
      <c r="N200" s="57"/>
      <c r="T200" s="55"/>
    </row>
    <row r="201">
      <c r="A201" s="55"/>
      <c r="B201" s="55"/>
      <c r="D201" s="56"/>
      <c r="E201" s="57"/>
      <c r="H201" s="57"/>
      <c r="I201" s="57"/>
      <c r="J201" s="57"/>
      <c r="L201" s="57"/>
      <c r="N201" s="57"/>
      <c r="T201" s="55"/>
    </row>
    <row r="202">
      <c r="A202" s="55"/>
      <c r="B202" s="55"/>
      <c r="D202" s="56"/>
      <c r="E202" s="57"/>
      <c r="H202" s="57"/>
      <c r="I202" s="57"/>
      <c r="J202" s="57"/>
      <c r="L202" s="57"/>
      <c r="N202" s="57"/>
      <c r="T202" s="55"/>
    </row>
    <row r="203">
      <c r="A203" s="55"/>
      <c r="B203" s="55"/>
      <c r="D203" s="56"/>
      <c r="E203" s="57"/>
      <c r="H203" s="57"/>
      <c r="I203" s="57"/>
      <c r="J203" s="57"/>
      <c r="L203" s="57"/>
      <c r="N203" s="57"/>
      <c r="T203" s="55"/>
    </row>
    <row r="204">
      <c r="A204" s="55"/>
      <c r="B204" s="55"/>
      <c r="D204" s="56"/>
      <c r="E204" s="57"/>
      <c r="H204" s="57"/>
      <c r="I204" s="57"/>
      <c r="J204" s="57"/>
      <c r="L204" s="57"/>
      <c r="N204" s="57"/>
      <c r="T204" s="55"/>
    </row>
    <row r="205">
      <c r="A205" s="55"/>
      <c r="B205" s="55"/>
      <c r="D205" s="56"/>
      <c r="E205" s="57"/>
      <c r="H205" s="57"/>
      <c r="I205" s="57"/>
      <c r="J205" s="57"/>
      <c r="L205" s="57"/>
      <c r="N205" s="57"/>
      <c r="T205" s="55"/>
    </row>
    <row r="206">
      <c r="A206" s="55"/>
      <c r="B206" s="55"/>
      <c r="D206" s="56"/>
      <c r="E206" s="57"/>
      <c r="H206" s="57"/>
      <c r="I206" s="57"/>
      <c r="J206" s="57"/>
      <c r="L206" s="57"/>
      <c r="N206" s="57"/>
      <c r="T206" s="55"/>
    </row>
    <row r="207">
      <c r="A207" s="55"/>
      <c r="B207" s="55"/>
      <c r="D207" s="56"/>
      <c r="E207" s="57"/>
      <c r="H207" s="57"/>
      <c r="I207" s="57"/>
      <c r="J207" s="57"/>
      <c r="L207" s="57"/>
      <c r="N207" s="57"/>
      <c r="T207" s="55"/>
    </row>
    <row r="208">
      <c r="A208" s="55"/>
      <c r="B208" s="55"/>
      <c r="D208" s="56"/>
      <c r="E208" s="57"/>
      <c r="H208" s="57"/>
      <c r="I208" s="57"/>
      <c r="J208" s="57"/>
      <c r="L208" s="57"/>
      <c r="N208" s="57"/>
      <c r="T208" s="55"/>
    </row>
    <row r="209">
      <c r="A209" s="55"/>
      <c r="B209" s="55"/>
      <c r="D209" s="56"/>
      <c r="E209" s="57"/>
      <c r="H209" s="57"/>
      <c r="I209" s="57"/>
      <c r="J209" s="57"/>
      <c r="L209" s="57"/>
      <c r="N209" s="57"/>
      <c r="T209" s="55"/>
    </row>
    <row r="210">
      <c r="A210" s="55"/>
      <c r="B210" s="55"/>
      <c r="D210" s="56"/>
      <c r="E210" s="57"/>
      <c r="H210" s="57"/>
      <c r="I210" s="57"/>
      <c r="J210" s="57"/>
      <c r="L210" s="57"/>
      <c r="N210" s="57"/>
      <c r="T210" s="55"/>
    </row>
    <row r="211">
      <c r="A211" s="55"/>
      <c r="B211" s="55"/>
      <c r="D211" s="56"/>
      <c r="E211" s="57"/>
      <c r="H211" s="57"/>
      <c r="I211" s="57"/>
      <c r="J211" s="57"/>
      <c r="L211" s="57"/>
      <c r="N211" s="57"/>
      <c r="T211" s="55"/>
    </row>
    <row r="212">
      <c r="A212" s="55"/>
      <c r="B212" s="55"/>
      <c r="D212" s="56"/>
      <c r="E212" s="57"/>
      <c r="H212" s="57"/>
      <c r="I212" s="57"/>
      <c r="J212" s="57"/>
      <c r="L212" s="57"/>
      <c r="N212" s="57"/>
      <c r="T212" s="55"/>
    </row>
    <row r="213">
      <c r="A213" s="55"/>
      <c r="B213" s="55"/>
      <c r="D213" s="56"/>
      <c r="E213" s="57"/>
      <c r="H213" s="57"/>
      <c r="I213" s="57"/>
      <c r="J213" s="57"/>
      <c r="L213" s="57"/>
      <c r="N213" s="57"/>
      <c r="T213" s="55"/>
    </row>
    <row r="214">
      <c r="A214" s="55"/>
      <c r="B214" s="55"/>
      <c r="D214" s="56"/>
      <c r="E214" s="57"/>
      <c r="H214" s="57"/>
      <c r="I214" s="57"/>
      <c r="J214" s="57"/>
      <c r="L214" s="57"/>
      <c r="N214" s="57"/>
      <c r="T214" s="55"/>
    </row>
    <row r="215">
      <c r="A215" s="55"/>
      <c r="B215" s="55"/>
      <c r="D215" s="56"/>
      <c r="E215" s="57"/>
      <c r="H215" s="57"/>
      <c r="I215" s="57"/>
      <c r="J215" s="57"/>
      <c r="L215" s="57"/>
      <c r="N215" s="57"/>
      <c r="T215" s="55"/>
    </row>
    <row r="216">
      <c r="A216" s="55"/>
      <c r="B216" s="55"/>
      <c r="D216" s="56"/>
      <c r="E216" s="57"/>
      <c r="H216" s="57"/>
      <c r="I216" s="57"/>
      <c r="J216" s="57"/>
      <c r="L216" s="57"/>
      <c r="N216" s="57"/>
      <c r="T216" s="55"/>
    </row>
    <row r="217">
      <c r="A217" s="55"/>
      <c r="B217" s="55"/>
      <c r="D217" s="56"/>
      <c r="E217" s="57"/>
      <c r="H217" s="57"/>
      <c r="I217" s="57"/>
      <c r="J217" s="57"/>
      <c r="L217" s="57"/>
      <c r="N217" s="57"/>
      <c r="T217" s="55"/>
    </row>
    <row r="218">
      <c r="A218" s="55"/>
      <c r="B218" s="55"/>
      <c r="D218" s="56"/>
      <c r="E218" s="57"/>
      <c r="H218" s="57"/>
      <c r="I218" s="57"/>
      <c r="J218" s="57"/>
      <c r="L218" s="57"/>
      <c r="N218" s="57"/>
      <c r="T218" s="55"/>
    </row>
    <row r="219">
      <c r="A219" s="55"/>
      <c r="B219" s="55"/>
      <c r="D219" s="56"/>
      <c r="E219" s="57"/>
      <c r="H219" s="57"/>
      <c r="I219" s="57"/>
      <c r="J219" s="57"/>
      <c r="L219" s="57"/>
      <c r="N219" s="57"/>
      <c r="T219" s="55"/>
    </row>
    <row r="220">
      <c r="A220" s="55"/>
      <c r="B220" s="55"/>
      <c r="D220" s="56"/>
      <c r="E220" s="57"/>
      <c r="H220" s="57"/>
      <c r="I220" s="57"/>
      <c r="J220" s="57"/>
      <c r="L220" s="57"/>
      <c r="N220" s="57"/>
      <c r="T220" s="55"/>
    </row>
    <row r="221">
      <c r="A221" s="55"/>
      <c r="B221" s="55"/>
      <c r="D221" s="56"/>
      <c r="E221" s="57"/>
      <c r="H221" s="57"/>
      <c r="I221" s="57"/>
      <c r="J221" s="57"/>
      <c r="L221" s="57"/>
      <c r="N221" s="57"/>
      <c r="T221" s="55"/>
    </row>
    <row r="222">
      <c r="A222" s="55"/>
      <c r="B222" s="55"/>
      <c r="D222" s="56"/>
      <c r="E222" s="57"/>
      <c r="H222" s="57"/>
      <c r="I222" s="57"/>
      <c r="J222" s="57"/>
      <c r="L222" s="57"/>
      <c r="N222" s="57"/>
      <c r="T222" s="55"/>
    </row>
    <row r="223">
      <c r="A223" s="55"/>
      <c r="B223" s="55"/>
      <c r="D223" s="56"/>
      <c r="E223" s="57"/>
      <c r="H223" s="57"/>
      <c r="I223" s="57"/>
      <c r="J223" s="57"/>
      <c r="L223" s="57"/>
      <c r="N223" s="57"/>
      <c r="T223" s="55"/>
    </row>
    <row r="224">
      <c r="A224" s="55"/>
      <c r="B224" s="55"/>
      <c r="D224" s="56"/>
      <c r="E224" s="57"/>
      <c r="H224" s="57"/>
      <c r="I224" s="57"/>
      <c r="J224" s="57"/>
      <c r="L224" s="57"/>
      <c r="N224" s="57"/>
      <c r="T224" s="55"/>
    </row>
    <row r="225">
      <c r="A225" s="55"/>
      <c r="B225" s="55"/>
      <c r="D225" s="56"/>
      <c r="E225" s="57"/>
      <c r="H225" s="57"/>
      <c r="I225" s="57"/>
      <c r="J225" s="57"/>
      <c r="L225" s="57"/>
      <c r="N225" s="57"/>
      <c r="T225" s="55"/>
    </row>
    <row r="226">
      <c r="A226" s="55"/>
      <c r="B226" s="55"/>
      <c r="D226" s="56"/>
      <c r="E226" s="57"/>
      <c r="H226" s="57"/>
      <c r="I226" s="57"/>
      <c r="J226" s="57"/>
      <c r="L226" s="57"/>
      <c r="N226" s="57"/>
      <c r="T226" s="55"/>
    </row>
    <row r="227">
      <c r="A227" s="55"/>
      <c r="B227" s="55"/>
      <c r="D227" s="56"/>
      <c r="E227" s="57"/>
      <c r="H227" s="57"/>
      <c r="I227" s="57"/>
      <c r="J227" s="57"/>
      <c r="L227" s="57"/>
      <c r="N227" s="57"/>
      <c r="T227" s="55"/>
    </row>
    <row r="228">
      <c r="A228" s="55"/>
      <c r="B228" s="55"/>
      <c r="D228" s="56"/>
      <c r="E228" s="57"/>
      <c r="H228" s="57"/>
      <c r="I228" s="57"/>
      <c r="J228" s="57"/>
      <c r="L228" s="57"/>
      <c r="N228" s="57"/>
      <c r="T228" s="55"/>
    </row>
    <row r="229">
      <c r="A229" s="55"/>
      <c r="B229" s="55"/>
      <c r="D229" s="56"/>
      <c r="E229" s="57"/>
      <c r="H229" s="57"/>
      <c r="I229" s="57"/>
      <c r="J229" s="57"/>
      <c r="L229" s="57"/>
      <c r="N229" s="57"/>
      <c r="T229" s="55"/>
    </row>
    <row r="230">
      <c r="A230" s="55"/>
      <c r="B230" s="55"/>
      <c r="D230" s="56"/>
      <c r="E230" s="57"/>
      <c r="H230" s="57"/>
      <c r="I230" s="57"/>
      <c r="J230" s="57"/>
      <c r="L230" s="57"/>
      <c r="N230" s="57"/>
      <c r="T230" s="55"/>
    </row>
    <row r="231">
      <c r="A231" s="55"/>
      <c r="B231" s="55"/>
      <c r="D231" s="56"/>
      <c r="E231" s="57"/>
      <c r="H231" s="57"/>
      <c r="I231" s="57"/>
      <c r="J231" s="57"/>
      <c r="L231" s="57"/>
      <c r="N231" s="57"/>
      <c r="T231" s="55"/>
    </row>
    <row r="232">
      <c r="A232" s="55"/>
      <c r="B232" s="55"/>
      <c r="D232" s="56"/>
      <c r="E232" s="57"/>
      <c r="H232" s="57"/>
      <c r="I232" s="57"/>
      <c r="J232" s="57"/>
      <c r="L232" s="57"/>
      <c r="N232" s="57"/>
      <c r="T232" s="55"/>
    </row>
    <row r="233">
      <c r="A233" s="55"/>
      <c r="B233" s="55"/>
      <c r="D233" s="56"/>
      <c r="E233" s="57"/>
      <c r="H233" s="57"/>
      <c r="I233" s="57"/>
      <c r="J233" s="57"/>
      <c r="L233" s="57"/>
      <c r="N233" s="57"/>
      <c r="T233" s="55"/>
    </row>
    <row r="234">
      <c r="A234" s="55"/>
      <c r="B234" s="55"/>
      <c r="D234" s="56"/>
      <c r="E234" s="57"/>
      <c r="H234" s="57"/>
      <c r="I234" s="57"/>
      <c r="J234" s="57"/>
      <c r="L234" s="57"/>
      <c r="N234" s="57"/>
      <c r="T234" s="55"/>
    </row>
    <row r="235">
      <c r="A235" s="55"/>
      <c r="B235" s="55"/>
      <c r="D235" s="56"/>
      <c r="E235" s="57"/>
      <c r="H235" s="57"/>
      <c r="I235" s="57"/>
      <c r="J235" s="57"/>
      <c r="L235" s="57"/>
      <c r="N235" s="57"/>
      <c r="T235" s="55"/>
    </row>
    <row r="236">
      <c r="A236" s="55"/>
      <c r="B236" s="55"/>
      <c r="D236" s="56"/>
      <c r="E236" s="57"/>
      <c r="H236" s="57"/>
      <c r="I236" s="57"/>
      <c r="J236" s="57"/>
      <c r="L236" s="57"/>
      <c r="N236" s="57"/>
      <c r="T236" s="55"/>
    </row>
    <row r="237">
      <c r="A237" s="55"/>
      <c r="B237" s="55"/>
      <c r="D237" s="56"/>
      <c r="E237" s="57"/>
      <c r="H237" s="57"/>
      <c r="I237" s="57"/>
      <c r="J237" s="57"/>
      <c r="L237" s="57"/>
      <c r="N237" s="57"/>
      <c r="T237" s="55"/>
    </row>
    <row r="238">
      <c r="A238" s="55"/>
      <c r="B238" s="55"/>
      <c r="D238" s="56"/>
      <c r="E238" s="57"/>
      <c r="H238" s="57"/>
      <c r="I238" s="57"/>
      <c r="J238" s="57"/>
      <c r="L238" s="57"/>
      <c r="N238" s="57"/>
      <c r="T238" s="55"/>
    </row>
    <row r="239">
      <c r="A239" s="55"/>
      <c r="B239" s="55"/>
      <c r="D239" s="56"/>
      <c r="E239" s="57"/>
      <c r="H239" s="57"/>
      <c r="I239" s="57"/>
      <c r="J239" s="57"/>
      <c r="L239" s="57"/>
      <c r="N239" s="57"/>
      <c r="T239" s="55"/>
    </row>
    <row r="240">
      <c r="A240" s="55"/>
      <c r="B240" s="55"/>
      <c r="D240" s="56"/>
      <c r="E240" s="57"/>
      <c r="H240" s="57"/>
      <c r="I240" s="57"/>
      <c r="J240" s="57"/>
      <c r="L240" s="57"/>
      <c r="N240" s="57"/>
      <c r="T240" s="55"/>
    </row>
    <row r="241">
      <c r="A241" s="55"/>
      <c r="B241" s="55"/>
      <c r="D241" s="56"/>
      <c r="E241" s="57"/>
      <c r="H241" s="57"/>
      <c r="I241" s="57"/>
      <c r="J241" s="57"/>
      <c r="L241" s="57"/>
      <c r="N241" s="57"/>
      <c r="T241" s="55"/>
    </row>
    <row r="242">
      <c r="A242" s="55"/>
      <c r="B242" s="55"/>
      <c r="D242" s="56"/>
      <c r="E242" s="57"/>
      <c r="H242" s="57"/>
      <c r="I242" s="57"/>
      <c r="J242" s="57"/>
      <c r="L242" s="57"/>
      <c r="N242" s="57"/>
      <c r="T242" s="55"/>
    </row>
    <row r="243">
      <c r="A243" s="55"/>
      <c r="B243" s="55"/>
      <c r="D243" s="56"/>
      <c r="E243" s="57"/>
      <c r="H243" s="57"/>
      <c r="I243" s="57"/>
      <c r="J243" s="57"/>
      <c r="L243" s="57"/>
      <c r="N243" s="57"/>
      <c r="T243" s="55"/>
    </row>
    <row r="244">
      <c r="A244" s="55"/>
      <c r="B244" s="55"/>
      <c r="D244" s="56"/>
      <c r="E244" s="57"/>
      <c r="H244" s="57"/>
      <c r="I244" s="57"/>
      <c r="J244" s="57"/>
      <c r="L244" s="57"/>
      <c r="N244" s="57"/>
      <c r="T244" s="55"/>
    </row>
    <row r="245">
      <c r="A245" s="55"/>
      <c r="B245" s="55"/>
      <c r="D245" s="56"/>
      <c r="E245" s="57"/>
      <c r="H245" s="57"/>
      <c r="I245" s="57"/>
      <c r="J245" s="57"/>
      <c r="L245" s="57"/>
      <c r="N245" s="57"/>
      <c r="T245" s="55"/>
    </row>
    <row r="246">
      <c r="A246" s="55"/>
      <c r="B246" s="55"/>
      <c r="D246" s="56"/>
      <c r="E246" s="57"/>
      <c r="H246" s="57"/>
      <c r="I246" s="57"/>
      <c r="J246" s="57"/>
      <c r="L246" s="57"/>
      <c r="N246" s="57"/>
      <c r="T246" s="55"/>
    </row>
    <row r="247">
      <c r="A247" s="55"/>
      <c r="B247" s="55"/>
      <c r="D247" s="56"/>
      <c r="E247" s="57"/>
      <c r="H247" s="57"/>
      <c r="I247" s="57"/>
      <c r="J247" s="57"/>
      <c r="L247" s="57"/>
      <c r="N247" s="57"/>
      <c r="T247" s="55"/>
    </row>
    <row r="248">
      <c r="A248" s="55"/>
      <c r="B248" s="55"/>
      <c r="D248" s="56"/>
      <c r="E248" s="57"/>
      <c r="H248" s="57"/>
      <c r="I248" s="57"/>
      <c r="J248" s="57"/>
      <c r="L248" s="57"/>
      <c r="N248" s="57"/>
      <c r="T248" s="55"/>
    </row>
    <row r="249">
      <c r="A249" s="55"/>
      <c r="B249" s="55"/>
      <c r="D249" s="56"/>
      <c r="E249" s="57"/>
      <c r="H249" s="57"/>
      <c r="I249" s="57"/>
      <c r="J249" s="57"/>
      <c r="L249" s="57"/>
      <c r="N249" s="57"/>
      <c r="T249" s="55"/>
    </row>
    <row r="250">
      <c r="A250" s="55"/>
      <c r="B250" s="55"/>
      <c r="D250" s="56"/>
      <c r="E250" s="57"/>
      <c r="H250" s="57"/>
      <c r="I250" s="57"/>
      <c r="J250" s="57"/>
      <c r="L250" s="57"/>
      <c r="N250" s="57"/>
      <c r="T250" s="55"/>
    </row>
    <row r="251">
      <c r="A251" s="55"/>
      <c r="B251" s="55"/>
      <c r="D251" s="56"/>
      <c r="E251" s="57"/>
      <c r="H251" s="57"/>
      <c r="I251" s="57"/>
      <c r="J251" s="57"/>
      <c r="L251" s="57"/>
      <c r="N251" s="57"/>
      <c r="T251" s="55"/>
    </row>
    <row r="252">
      <c r="A252" s="55"/>
      <c r="B252" s="55"/>
      <c r="D252" s="56"/>
      <c r="E252" s="57"/>
      <c r="H252" s="57"/>
      <c r="I252" s="57"/>
      <c r="J252" s="57"/>
      <c r="L252" s="57"/>
      <c r="N252" s="57"/>
      <c r="T252" s="55"/>
    </row>
    <row r="253">
      <c r="A253" s="55"/>
      <c r="B253" s="55"/>
      <c r="D253" s="56"/>
      <c r="E253" s="57"/>
      <c r="H253" s="57"/>
      <c r="I253" s="57"/>
      <c r="J253" s="57"/>
      <c r="L253" s="57"/>
      <c r="N253" s="57"/>
      <c r="T253" s="55"/>
    </row>
    <row r="254">
      <c r="A254" s="55"/>
      <c r="B254" s="55"/>
      <c r="D254" s="56"/>
      <c r="E254" s="57"/>
      <c r="H254" s="57"/>
      <c r="I254" s="57"/>
      <c r="J254" s="57"/>
      <c r="L254" s="57"/>
      <c r="N254" s="57"/>
      <c r="T254" s="55"/>
    </row>
    <row r="255">
      <c r="A255" s="55"/>
      <c r="B255" s="55"/>
      <c r="D255" s="56"/>
      <c r="E255" s="57"/>
      <c r="H255" s="57"/>
      <c r="I255" s="57"/>
      <c r="J255" s="57"/>
      <c r="L255" s="57"/>
      <c r="N255" s="57"/>
      <c r="T255" s="55"/>
    </row>
    <row r="256">
      <c r="A256" s="55"/>
      <c r="B256" s="55"/>
      <c r="D256" s="56"/>
      <c r="E256" s="57"/>
      <c r="H256" s="57"/>
      <c r="I256" s="57"/>
      <c r="J256" s="57"/>
      <c r="L256" s="57"/>
      <c r="N256" s="57"/>
      <c r="T256" s="55"/>
    </row>
    <row r="257">
      <c r="A257" s="55"/>
      <c r="B257" s="55"/>
      <c r="D257" s="56"/>
      <c r="E257" s="57"/>
      <c r="H257" s="57"/>
      <c r="I257" s="57"/>
      <c r="J257" s="57"/>
      <c r="L257" s="57"/>
      <c r="N257" s="57"/>
      <c r="T257" s="55"/>
    </row>
    <row r="258">
      <c r="A258" s="55"/>
      <c r="B258" s="55"/>
      <c r="D258" s="56"/>
      <c r="E258" s="57"/>
      <c r="H258" s="57"/>
      <c r="I258" s="57"/>
      <c r="J258" s="57"/>
      <c r="L258" s="57"/>
      <c r="N258" s="57"/>
      <c r="T258" s="55"/>
    </row>
    <row r="259">
      <c r="A259" s="55"/>
      <c r="B259" s="55"/>
      <c r="D259" s="56"/>
      <c r="E259" s="57"/>
      <c r="H259" s="57"/>
      <c r="I259" s="57"/>
      <c r="J259" s="57"/>
      <c r="L259" s="57"/>
      <c r="N259" s="57"/>
      <c r="T259" s="55"/>
    </row>
    <row r="260">
      <c r="A260" s="55"/>
      <c r="B260" s="55"/>
      <c r="D260" s="56"/>
      <c r="E260" s="57"/>
      <c r="H260" s="57"/>
      <c r="I260" s="57"/>
      <c r="J260" s="57"/>
      <c r="L260" s="57"/>
      <c r="N260" s="57"/>
      <c r="T260" s="55"/>
    </row>
    <row r="261">
      <c r="A261" s="55"/>
      <c r="B261" s="55"/>
      <c r="D261" s="56"/>
      <c r="E261" s="57"/>
      <c r="H261" s="57"/>
      <c r="I261" s="57"/>
      <c r="J261" s="57"/>
      <c r="L261" s="57"/>
      <c r="N261" s="57"/>
      <c r="T261" s="55"/>
    </row>
    <row r="262">
      <c r="A262" s="55"/>
      <c r="B262" s="55"/>
      <c r="D262" s="56"/>
      <c r="E262" s="57"/>
      <c r="H262" s="57"/>
      <c r="I262" s="57"/>
      <c r="J262" s="57"/>
      <c r="L262" s="57"/>
      <c r="N262" s="57"/>
      <c r="T262" s="55"/>
    </row>
    <row r="263">
      <c r="A263" s="55"/>
      <c r="B263" s="55"/>
      <c r="D263" s="56"/>
      <c r="E263" s="57"/>
      <c r="H263" s="57"/>
      <c r="I263" s="57"/>
      <c r="J263" s="57"/>
      <c r="L263" s="57"/>
      <c r="N263" s="57"/>
      <c r="T263" s="55"/>
    </row>
    <row r="264">
      <c r="A264" s="55"/>
      <c r="B264" s="55"/>
      <c r="D264" s="56"/>
      <c r="E264" s="57"/>
      <c r="H264" s="57"/>
      <c r="I264" s="57"/>
      <c r="J264" s="57"/>
      <c r="L264" s="57"/>
      <c r="N264" s="57"/>
      <c r="T264" s="55"/>
    </row>
    <row r="265">
      <c r="A265" s="55"/>
      <c r="B265" s="55"/>
      <c r="D265" s="56"/>
      <c r="E265" s="57"/>
      <c r="H265" s="57"/>
      <c r="I265" s="57"/>
      <c r="J265" s="57"/>
      <c r="L265" s="57"/>
      <c r="N265" s="57"/>
      <c r="T265" s="55"/>
    </row>
    <row r="266">
      <c r="A266" s="55"/>
      <c r="B266" s="55"/>
      <c r="D266" s="56"/>
      <c r="E266" s="57"/>
      <c r="H266" s="57"/>
      <c r="I266" s="57"/>
      <c r="J266" s="57"/>
      <c r="L266" s="57"/>
      <c r="N266" s="57"/>
      <c r="T266" s="55"/>
    </row>
    <row r="267">
      <c r="A267" s="55"/>
      <c r="B267" s="55"/>
      <c r="D267" s="56"/>
      <c r="E267" s="57"/>
      <c r="H267" s="57"/>
      <c r="I267" s="57"/>
      <c r="J267" s="57"/>
      <c r="L267" s="57"/>
      <c r="N267" s="57"/>
      <c r="T267" s="55"/>
    </row>
    <row r="268">
      <c r="A268" s="55"/>
      <c r="B268" s="55"/>
      <c r="D268" s="56"/>
      <c r="E268" s="57"/>
      <c r="H268" s="57"/>
      <c r="I268" s="57"/>
      <c r="J268" s="57"/>
      <c r="L268" s="57"/>
      <c r="N268" s="57"/>
      <c r="T268" s="55"/>
    </row>
    <row r="269">
      <c r="A269" s="55"/>
      <c r="B269" s="55"/>
      <c r="D269" s="56"/>
      <c r="E269" s="57"/>
      <c r="H269" s="57"/>
      <c r="I269" s="57"/>
      <c r="J269" s="57"/>
      <c r="L269" s="57"/>
      <c r="N269" s="57"/>
      <c r="T269" s="55"/>
    </row>
    <row r="270">
      <c r="A270" s="55"/>
      <c r="B270" s="55"/>
      <c r="D270" s="56"/>
      <c r="E270" s="57"/>
      <c r="H270" s="57"/>
      <c r="I270" s="57"/>
      <c r="J270" s="57"/>
      <c r="L270" s="57"/>
      <c r="N270" s="57"/>
      <c r="T270" s="55"/>
    </row>
    <row r="271">
      <c r="A271" s="55"/>
      <c r="B271" s="55"/>
      <c r="D271" s="56"/>
      <c r="E271" s="57"/>
      <c r="H271" s="57"/>
      <c r="I271" s="57"/>
      <c r="J271" s="57"/>
      <c r="L271" s="57"/>
      <c r="N271" s="57"/>
      <c r="T271" s="55"/>
    </row>
    <row r="272">
      <c r="A272" s="55"/>
      <c r="B272" s="55"/>
      <c r="D272" s="56"/>
      <c r="E272" s="57"/>
      <c r="H272" s="57"/>
      <c r="I272" s="57"/>
      <c r="J272" s="57"/>
      <c r="L272" s="57"/>
      <c r="N272" s="57"/>
      <c r="T272" s="55"/>
    </row>
    <row r="273">
      <c r="A273" s="55"/>
      <c r="B273" s="55"/>
      <c r="D273" s="56"/>
      <c r="E273" s="57"/>
      <c r="H273" s="57"/>
      <c r="I273" s="57"/>
      <c r="J273" s="57"/>
      <c r="L273" s="57"/>
      <c r="N273" s="57"/>
      <c r="T273" s="55"/>
    </row>
    <row r="274">
      <c r="A274" s="55"/>
      <c r="B274" s="55"/>
      <c r="D274" s="56"/>
      <c r="E274" s="57"/>
      <c r="H274" s="57"/>
      <c r="I274" s="57"/>
      <c r="J274" s="57"/>
      <c r="L274" s="57"/>
      <c r="N274" s="57"/>
      <c r="T274" s="55"/>
    </row>
    <row r="275">
      <c r="A275" s="55"/>
      <c r="B275" s="55"/>
      <c r="D275" s="56"/>
      <c r="E275" s="57"/>
      <c r="H275" s="57"/>
      <c r="I275" s="57"/>
      <c r="J275" s="57"/>
      <c r="L275" s="57"/>
      <c r="N275" s="57"/>
      <c r="T275" s="55"/>
    </row>
    <row r="276">
      <c r="A276" s="55"/>
      <c r="B276" s="55"/>
      <c r="D276" s="56"/>
      <c r="E276" s="57"/>
      <c r="H276" s="57"/>
      <c r="I276" s="57"/>
      <c r="J276" s="57"/>
      <c r="L276" s="57"/>
      <c r="N276" s="57"/>
      <c r="T276" s="55"/>
    </row>
    <row r="277">
      <c r="A277" s="55"/>
      <c r="B277" s="55"/>
      <c r="D277" s="56"/>
      <c r="E277" s="57"/>
      <c r="H277" s="57"/>
      <c r="I277" s="57"/>
      <c r="J277" s="57"/>
      <c r="L277" s="57"/>
      <c r="N277" s="57"/>
      <c r="T277" s="55"/>
    </row>
    <row r="278">
      <c r="A278" s="55"/>
      <c r="B278" s="55"/>
      <c r="D278" s="56"/>
      <c r="E278" s="57"/>
      <c r="H278" s="57"/>
      <c r="I278" s="57"/>
      <c r="J278" s="57"/>
      <c r="L278" s="57"/>
      <c r="N278" s="57"/>
      <c r="T278" s="55"/>
    </row>
    <row r="279">
      <c r="A279" s="55"/>
      <c r="B279" s="55"/>
      <c r="D279" s="56"/>
      <c r="E279" s="57"/>
      <c r="H279" s="57"/>
      <c r="I279" s="57"/>
      <c r="J279" s="57"/>
      <c r="L279" s="57"/>
      <c r="N279" s="57"/>
      <c r="T279" s="55"/>
    </row>
    <row r="280">
      <c r="A280" s="55"/>
      <c r="B280" s="55"/>
      <c r="D280" s="56"/>
      <c r="E280" s="57"/>
      <c r="H280" s="57"/>
      <c r="I280" s="57"/>
      <c r="J280" s="57"/>
      <c r="L280" s="57"/>
      <c r="N280" s="57"/>
      <c r="T280" s="55"/>
    </row>
    <row r="281">
      <c r="A281" s="55"/>
      <c r="B281" s="55"/>
      <c r="D281" s="56"/>
      <c r="E281" s="57"/>
      <c r="H281" s="57"/>
      <c r="I281" s="57"/>
      <c r="J281" s="57"/>
      <c r="L281" s="57"/>
      <c r="N281" s="57"/>
      <c r="T281" s="55"/>
    </row>
    <row r="282">
      <c r="A282" s="55"/>
      <c r="B282" s="55"/>
      <c r="D282" s="56"/>
      <c r="E282" s="57"/>
      <c r="H282" s="57"/>
      <c r="I282" s="57"/>
      <c r="J282" s="57"/>
      <c r="L282" s="57"/>
      <c r="N282" s="57"/>
      <c r="T282" s="55"/>
    </row>
    <row r="283">
      <c r="A283" s="55"/>
      <c r="B283" s="55"/>
      <c r="D283" s="56"/>
      <c r="E283" s="57"/>
      <c r="H283" s="57"/>
      <c r="I283" s="57"/>
      <c r="J283" s="57"/>
      <c r="L283" s="57"/>
      <c r="N283" s="57"/>
      <c r="T283" s="55"/>
    </row>
    <row r="284">
      <c r="A284" s="55"/>
      <c r="B284" s="55"/>
      <c r="D284" s="56"/>
      <c r="E284" s="57"/>
      <c r="H284" s="57"/>
      <c r="I284" s="57"/>
      <c r="J284" s="57"/>
      <c r="L284" s="57"/>
      <c r="N284" s="57"/>
      <c r="T284" s="55"/>
    </row>
    <row r="285">
      <c r="A285" s="55"/>
      <c r="B285" s="55"/>
      <c r="D285" s="56"/>
      <c r="E285" s="57"/>
      <c r="H285" s="57"/>
      <c r="I285" s="57"/>
      <c r="J285" s="57"/>
      <c r="L285" s="57"/>
      <c r="N285" s="57"/>
      <c r="T285" s="55"/>
    </row>
    <row r="286">
      <c r="A286" s="55"/>
      <c r="B286" s="55"/>
      <c r="D286" s="56"/>
      <c r="E286" s="57"/>
      <c r="H286" s="57"/>
      <c r="I286" s="57"/>
      <c r="J286" s="57"/>
      <c r="L286" s="57"/>
      <c r="N286" s="57"/>
      <c r="T286" s="55"/>
    </row>
    <row r="287">
      <c r="A287" s="55"/>
      <c r="B287" s="55"/>
      <c r="D287" s="56"/>
      <c r="E287" s="57"/>
      <c r="H287" s="57"/>
      <c r="I287" s="57"/>
      <c r="J287" s="57"/>
      <c r="L287" s="57"/>
      <c r="N287" s="57"/>
      <c r="T287" s="55"/>
    </row>
    <row r="288">
      <c r="A288" s="55"/>
      <c r="B288" s="55"/>
      <c r="D288" s="56"/>
      <c r="E288" s="57"/>
      <c r="H288" s="57"/>
      <c r="I288" s="57"/>
      <c r="J288" s="57"/>
      <c r="L288" s="57"/>
      <c r="N288" s="57"/>
      <c r="T288" s="55"/>
    </row>
    <row r="289">
      <c r="A289" s="55"/>
      <c r="B289" s="55"/>
      <c r="D289" s="56"/>
      <c r="E289" s="57"/>
      <c r="H289" s="57"/>
      <c r="I289" s="57"/>
      <c r="J289" s="57"/>
      <c r="L289" s="57"/>
      <c r="N289" s="57"/>
      <c r="T289" s="55"/>
    </row>
    <row r="290">
      <c r="A290" s="55"/>
      <c r="B290" s="55"/>
      <c r="D290" s="56"/>
      <c r="E290" s="57"/>
      <c r="H290" s="57"/>
      <c r="I290" s="57"/>
      <c r="J290" s="57"/>
      <c r="L290" s="57"/>
      <c r="N290" s="57"/>
      <c r="T290" s="55"/>
    </row>
    <row r="291">
      <c r="A291" s="55"/>
      <c r="B291" s="55"/>
      <c r="D291" s="56"/>
      <c r="E291" s="57"/>
      <c r="H291" s="57"/>
      <c r="I291" s="57"/>
      <c r="J291" s="57"/>
      <c r="L291" s="57"/>
      <c r="N291" s="57"/>
      <c r="T291" s="55"/>
    </row>
    <row r="292">
      <c r="A292" s="55"/>
      <c r="B292" s="55"/>
      <c r="D292" s="56"/>
      <c r="E292" s="57"/>
      <c r="H292" s="57"/>
      <c r="I292" s="57"/>
      <c r="J292" s="57"/>
      <c r="L292" s="57"/>
      <c r="N292" s="57"/>
      <c r="T292" s="55"/>
    </row>
    <row r="293">
      <c r="A293" s="55"/>
      <c r="B293" s="55"/>
      <c r="D293" s="56"/>
      <c r="E293" s="57"/>
      <c r="H293" s="57"/>
      <c r="I293" s="57"/>
      <c r="J293" s="57"/>
      <c r="L293" s="57"/>
      <c r="N293" s="57"/>
      <c r="T293" s="55"/>
    </row>
    <row r="294">
      <c r="A294" s="55"/>
      <c r="B294" s="55"/>
      <c r="D294" s="56"/>
      <c r="E294" s="57"/>
      <c r="H294" s="57"/>
      <c r="I294" s="57"/>
      <c r="J294" s="57"/>
      <c r="L294" s="57"/>
      <c r="N294" s="57"/>
      <c r="T294" s="55"/>
    </row>
    <row r="295">
      <c r="A295" s="55"/>
      <c r="B295" s="55"/>
      <c r="D295" s="56"/>
      <c r="E295" s="57"/>
      <c r="H295" s="57"/>
      <c r="I295" s="57"/>
      <c r="J295" s="57"/>
      <c r="L295" s="57"/>
      <c r="N295" s="57"/>
      <c r="T295" s="55"/>
    </row>
    <row r="296">
      <c r="A296" s="55"/>
      <c r="B296" s="55"/>
      <c r="D296" s="56"/>
      <c r="E296" s="57"/>
      <c r="H296" s="57"/>
      <c r="I296" s="57"/>
      <c r="J296" s="57"/>
      <c r="L296" s="57"/>
      <c r="N296" s="57"/>
      <c r="T296" s="55"/>
    </row>
    <row r="297">
      <c r="A297" s="55"/>
      <c r="B297" s="55"/>
      <c r="D297" s="56"/>
      <c r="E297" s="57"/>
      <c r="H297" s="57"/>
      <c r="I297" s="57"/>
      <c r="J297" s="57"/>
      <c r="L297" s="57"/>
      <c r="N297" s="57"/>
      <c r="T297" s="55"/>
    </row>
    <row r="298">
      <c r="A298" s="55"/>
      <c r="B298" s="55"/>
      <c r="D298" s="56"/>
      <c r="E298" s="57"/>
      <c r="H298" s="57"/>
      <c r="I298" s="57"/>
      <c r="J298" s="57"/>
      <c r="L298" s="57"/>
      <c r="N298" s="57"/>
      <c r="T298" s="55"/>
    </row>
    <row r="299">
      <c r="A299" s="55"/>
      <c r="B299" s="55"/>
      <c r="D299" s="56"/>
      <c r="E299" s="57"/>
      <c r="H299" s="57"/>
      <c r="I299" s="57"/>
      <c r="J299" s="57"/>
      <c r="L299" s="57"/>
      <c r="N299" s="57"/>
      <c r="T299" s="55"/>
    </row>
    <row r="300">
      <c r="A300" s="55"/>
      <c r="B300" s="55"/>
      <c r="D300" s="56"/>
      <c r="E300" s="57"/>
      <c r="H300" s="57"/>
      <c r="I300" s="57"/>
      <c r="J300" s="57"/>
      <c r="L300" s="57"/>
      <c r="N300" s="57"/>
      <c r="T300" s="55"/>
    </row>
    <row r="301">
      <c r="A301" s="55"/>
      <c r="B301" s="55"/>
      <c r="D301" s="56"/>
      <c r="E301" s="57"/>
      <c r="H301" s="57"/>
      <c r="I301" s="57"/>
      <c r="J301" s="57"/>
      <c r="L301" s="57"/>
      <c r="N301" s="57"/>
      <c r="T301" s="55"/>
    </row>
    <row r="302">
      <c r="A302" s="55"/>
      <c r="B302" s="55"/>
      <c r="D302" s="56"/>
      <c r="E302" s="57"/>
      <c r="H302" s="57"/>
      <c r="I302" s="57"/>
      <c r="J302" s="57"/>
      <c r="L302" s="57"/>
      <c r="N302" s="57"/>
      <c r="T302" s="55"/>
    </row>
    <row r="303">
      <c r="A303" s="55"/>
      <c r="B303" s="55"/>
      <c r="D303" s="56"/>
      <c r="E303" s="57"/>
      <c r="H303" s="57"/>
      <c r="I303" s="57"/>
      <c r="J303" s="57"/>
      <c r="L303" s="57"/>
      <c r="N303" s="57"/>
      <c r="T303" s="55"/>
    </row>
    <row r="304">
      <c r="A304" s="55"/>
      <c r="B304" s="55"/>
      <c r="D304" s="56"/>
      <c r="E304" s="57"/>
      <c r="H304" s="57"/>
      <c r="I304" s="57"/>
      <c r="J304" s="57"/>
      <c r="L304" s="57"/>
      <c r="N304" s="57"/>
      <c r="T304" s="55"/>
    </row>
    <row r="305">
      <c r="A305" s="55"/>
      <c r="B305" s="55"/>
      <c r="D305" s="56"/>
      <c r="E305" s="57"/>
      <c r="H305" s="57"/>
      <c r="I305" s="57"/>
      <c r="J305" s="57"/>
      <c r="L305" s="57"/>
      <c r="N305" s="57"/>
      <c r="T305" s="55"/>
    </row>
    <row r="306">
      <c r="A306" s="55"/>
      <c r="B306" s="55"/>
      <c r="D306" s="56"/>
      <c r="E306" s="57"/>
      <c r="H306" s="57"/>
      <c r="I306" s="57"/>
      <c r="J306" s="57"/>
      <c r="L306" s="57"/>
      <c r="N306" s="57"/>
      <c r="T306" s="55"/>
    </row>
    <row r="307">
      <c r="A307" s="55"/>
      <c r="B307" s="55"/>
      <c r="D307" s="56"/>
      <c r="E307" s="57"/>
      <c r="H307" s="57"/>
      <c r="I307" s="57"/>
      <c r="J307" s="57"/>
      <c r="L307" s="57"/>
      <c r="N307" s="57"/>
      <c r="T307" s="55"/>
    </row>
    <row r="308">
      <c r="A308" s="55"/>
      <c r="B308" s="55"/>
      <c r="D308" s="56"/>
      <c r="E308" s="57"/>
      <c r="H308" s="57"/>
      <c r="I308" s="57"/>
      <c r="J308" s="57"/>
      <c r="L308" s="57"/>
      <c r="N308" s="57"/>
      <c r="T308" s="55"/>
    </row>
    <row r="309">
      <c r="A309" s="55"/>
      <c r="B309" s="55"/>
      <c r="D309" s="56"/>
      <c r="E309" s="57"/>
      <c r="H309" s="57"/>
      <c r="I309" s="57"/>
      <c r="J309" s="57"/>
      <c r="L309" s="57"/>
      <c r="N309" s="57"/>
      <c r="T309" s="55"/>
    </row>
    <row r="310">
      <c r="A310" s="55"/>
      <c r="B310" s="55"/>
      <c r="D310" s="56"/>
      <c r="E310" s="57"/>
      <c r="H310" s="57"/>
      <c r="I310" s="57"/>
      <c r="J310" s="57"/>
      <c r="L310" s="57"/>
      <c r="N310" s="57"/>
      <c r="T310" s="55"/>
    </row>
    <row r="311">
      <c r="A311" s="55"/>
      <c r="B311" s="55"/>
      <c r="D311" s="56"/>
      <c r="E311" s="57"/>
      <c r="H311" s="57"/>
      <c r="I311" s="57"/>
      <c r="J311" s="57"/>
      <c r="L311" s="57"/>
      <c r="N311" s="57"/>
      <c r="T311" s="55"/>
    </row>
    <row r="312">
      <c r="A312" s="55"/>
      <c r="B312" s="55"/>
      <c r="D312" s="56"/>
      <c r="E312" s="57"/>
      <c r="H312" s="57"/>
      <c r="I312" s="57"/>
      <c r="J312" s="57"/>
      <c r="L312" s="57"/>
      <c r="N312" s="57"/>
      <c r="T312" s="55"/>
    </row>
    <row r="313">
      <c r="A313" s="55"/>
      <c r="B313" s="55"/>
      <c r="D313" s="56"/>
      <c r="E313" s="57"/>
      <c r="H313" s="57"/>
      <c r="I313" s="57"/>
      <c r="J313" s="57"/>
      <c r="L313" s="57"/>
      <c r="N313" s="57"/>
      <c r="T313" s="55"/>
    </row>
    <row r="314">
      <c r="A314" s="55"/>
      <c r="B314" s="55"/>
      <c r="D314" s="56"/>
      <c r="E314" s="57"/>
      <c r="H314" s="57"/>
      <c r="I314" s="57"/>
      <c r="J314" s="57"/>
      <c r="L314" s="57"/>
      <c r="N314" s="57"/>
      <c r="T314" s="55"/>
    </row>
    <row r="315">
      <c r="A315" s="55"/>
      <c r="B315" s="55"/>
      <c r="D315" s="56"/>
      <c r="E315" s="57"/>
      <c r="H315" s="57"/>
      <c r="I315" s="57"/>
      <c r="J315" s="57"/>
      <c r="L315" s="57"/>
      <c r="N315" s="57"/>
      <c r="T315" s="55"/>
    </row>
    <row r="316">
      <c r="A316" s="55"/>
      <c r="B316" s="55"/>
      <c r="D316" s="56"/>
      <c r="E316" s="57"/>
      <c r="H316" s="57"/>
      <c r="I316" s="57"/>
      <c r="J316" s="57"/>
      <c r="L316" s="57"/>
      <c r="N316" s="57"/>
      <c r="T316" s="55"/>
    </row>
    <row r="317">
      <c r="A317" s="55"/>
      <c r="B317" s="55"/>
      <c r="D317" s="56"/>
      <c r="E317" s="57"/>
      <c r="H317" s="57"/>
      <c r="I317" s="57"/>
      <c r="J317" s="57"/>
      <c r="L317" s="57"/>
      <c r="N317" s="57"/>
      <c r="T317" s="55"/>
    </row>
    <row r="318">
      <c r="A318" s="55"/>
      <c r="B318" s="55"/>
      <c r="D318" s="56"/>
      <c r="E318" s="57"/>
      <c r="H318" s="57"/>
      <c r="I318" s="57"/>
      <c r="J318" s="57"/>
      <c r="L318" s="57"/>
      <c r="N318" s="57"/>
      <c r="T318" s="55"/>
    </row>
    <row r="319">
      <c r="A319" s="55"/>
      <c r="B319" s="55"/>
      <c r="D319" s="56"/>
      <c r="E319" s="57"/>
      <c r="H319" s="57"/>
      <c r="I319" s="57"/>
      <c r="J319" s="57"/>
      <c r="L319" s="57"/>
      <c r="N319" s="57"/>
      <c r="T319" s="55"/>
    </row>
    <row r="320">
      <c r="A320" s="55"/>
      <c r="B320" s="55"/>
      <c r="D320" s="56"/>
      <c r="E320" s="57"/>
      <c r="H320" s="57"/>
      <c r="I320" s="57"/>
      <c r="J320" s="57"/>
      <c r="L320" s="57"/>
      <c r="N320" s="57"/>
      <c r="T320" s="55"/>
    </row>
    <row r="321">
      <c r="A321" s="55"/>
      <c r="B321" s="55"/>
      <c r="D321" s="56"/>
      <c r="E321" s="57"/>
      <c r="H321" s="57"/>
      <c r="I321" s="57"/>
      <c r="J321" s="57"/>
      <c r="L321" s="57"/>
      <c r="N321" s="57"/>
      <c r="T321" s="55"/>
    </row>
    <row r="322">
      <c r="A322" s="55"/>
      <c r="B322" s="55"/>
      <c r="D322" s="56"/>
      <c r="E322" s="57"/>
      <c r="H322" s="57"/>
      <c r="I322" s="57"/>
      <c r="J322" s="57"/>
      <c r="L322" s="57"/>
      <c r="N322" s="57"/>
      <c r="T322" s="55"/>
    </row>
    <row r="323">
      <c r="A323" s="55"/>
      <c r="B323" s="55"/>
      <c r="D323" s="56"/>
      <c r="E323" s="57"/>
      <c r="H323" s="57"/>
      <c r="I323" s="57"/>
      <c r="J323" s="57"/>
      <c r="L323" s="57"/>
      <c r="N323" s="57"/>
      <c r="T323" s="55"/>
    </row>
    <row r="324">
      <c r="A324" s="55"/>
      <c r="B324" s="55"/>
      <c r="D324" s="56"/>
      <c r="E324" s="57"/>
      <c r="H324" s="57"/>
      <c r="I324" s="57"/>
      <c r="J324" s="57"/>
      <c r="L324" s="57"/>
      <c r="N324" s="57"/>
      <c r="T324" s="55"/>
    </row>
    <row r="325">
      <c r="A325" s="55"/>
      <c r="B325" s="55"/>
      <c r="D325" s="56"/>
      <c r="E325" s="57"/>
      <c r="H325" s="57"/>
      <c r="I325" s="57"/>
      <c r="J325" s="57"/>
      <c r="L325" s="57"/>
      <c r="N325" s="57"/>
      <c r="T325" s="55"/>
    </row>
    <row r="326">
      <c r="A326" s="55"/>
      <c r="B326" s="55"/>
      <c r="D326" s="56"/>
      <c r="E326" s="57"/>
      <c r="H326" s="57"/>
      <c r="I326" s="57"/>
      <c r="J326" s="57"/>
      <c r="L326" s="57"/>
      <c r="N326" s="57"/>
      <c r="T326" s="55"/>
    </row>
    <row r="327">
      <c r="A327" s="55"/>
      <c r="B327" s="55"/>
      <c r="D327" s="56"/>
      <c r="E327" s="57"/>
      <c r="H327" s="57"/>
      <c r="I327" s="57"/>
      <c r="J327" s="57"/>
      <c r="L327" s="57"/>
      <c r="N327" s="57"/>
      <c r="T327" s="55"/>
    </row>
    <row r="328">
      <c r="A328" s="55"/>
      <c r="B328" s="55"/>
      <c r="D328" s="56"/>
      <c r="E328" s="57"/>
      <c r="H328" s="57"/>
      <c r="I328" s="57"/>
      <c r="J328" s="57"/>
      <c r="L328" s="57"/>
      <c r="N328" s="57"/>
      <c r="T328" s="55"/>
    </row>
    <row r="329">
      <c r="A329" s="55"/>
      <c r="B329" s="55"/>
      <c r="D329" s="56"/>
      <c r="E329" s="57"/>
      <c r="H329" s="57"/>
      <c r="I329" s="57"/>
      <c r="J329" s="57"/>
      <c r="L329" s="57"/>
      <c r="N329" s="57"/>
      <c r="T329" s="55"/>
    </row>
    <row r="330">
      <c r="A330" s="55"/>
      <c r="B330" s="55"/>
      <c r="D330" s="56"/>
      <c r="E330" s="57"/>
      <c r="H330" s="57"/>
      <c r="I330" s="57"/>
      <c r="J330" s="57"/>
      <c r="L330" s="57"/>
      <c r="N330" s="57"/>
      <c r="T330" s="55"/>
    </row>
    <row r="331">
      <c r="A331" s="55"/>
      <c r="B331" s="55"/>
      <c r="D331" s="56"/>
      <c r="E331" s="57"/>
      <c r="H331" s="57"/>
      <c r="I331" s="57"/>
      <c r="J331" s="57"/>
      <c r="L331" s="57"/>
      <c r="N331" s="57"/>
      <c r="T331" s="55"/>
    </row>
    <row r="332">
      <c r="A332" s="55"/>
      <c r="B332" s="55"/>
      <c r="D332" s="56"/>
      <c r="E332" s="57"/>
      <c r="H332" s="57"/>
      <c r="I332" s="57"/>
      <c r="J332" s="57"/>
      <c r="L332" s="57"/>
      <c r="N332" s="57"/>
      <c r="T332" s="55"/>
    </row>
    <row r="333">
      <c r="A333" s="55"/>
      <c r="B333" s="55"/>
      <c r="D333" s="56"/>
      <c r="E333" s="57"/>
      <c r="H333" s="57"/>
      <c r="I333" s="57"/>
      <c r="J333" s="57"/>
      <c r="L333" s="57"/>
      <c r="N333" s="57"/>
      <c r="T333" s="55"/>
    </row>
    <row r="334">
      <c r="A334" s="55"/>
      <c r="B334" s="55"/>
      <c r="D334" s="56"/>
      <c r="E334" s="57"/>
      <c r="H334" s="57"/>
      <c r="I334" s="57"/>
      <c r="J334" s="57"/>
      <c r="L334" s="57"/>
      <c r="N334" s="57"/>
      <c r="T334" s="55"/>
    </row>
    <row r="335">
      <c r="A335" s="55"/>
      <c r="B335" s="55"/>
      <c r="D335" s="56"/>
      <c r="E335" s="57"/>
      <c r="H335" s="57"/>
      <c r="I335" s="57"/>
      <c r="J335" s="57"/>
      <c r="L335" s="57"/>
      <c r="N335" s="57"/>
      <c r="T335" s="55"/>
    </row>
    <row r="336">
      <c r="A336" s="55"/>
      <c r="B336" s="55"/>
      <c r="D336" s="56"/>
      <c r="E336" s="57"/>
      <c r="H336" s="57"/>
      <c r="I336" s="57"/>
      <c r="J336" s="57"/>
      <c r="L336" s="57"/>
      <c r="N336" s="57"/>
      <c r="T336" s="55"/>
    </row>
    <row r="337">
      <c r="A337" s="55"/>
      <c r="B337" s="55"/>
      <c r="D337" s="56"/>
      <c r="E337" s="57"/>
      <c r="H337" s="57"/>
      <c r="I337" s="57"/>
      <c r="J337" s="57"/>
      <c r="L337" s="57"/>
      <c r="N337" s="57"/>
      <c r="T337" s="55"/>
    </row>
    <row r="338">
      <c r="A338" s="55"/>
      <c r="B338" s="55"/>
      <c r="D338" s="56"/>
      <c r="E338" s="57"/>
      <c r="H338" s="57"/>
      <c r="I338" s="57"/>
      <c r="J338" s="57"/>
      <c r="L338" s="57"/>
      <c r="N338" s="57"/>
      <c r="T338" s="55"/>
    </row>
    <row r="339">
      <c r="A339" s="55"/>
      <c r="B339" s="55"/>
      <c r="D339" s="56"/>
      <c r="E339" s="57"/>
      <c r="H339" s="57"/>
      <c r="I339" s="57"/>
      <c r="J339" s="57"/>
      <c r="L339" s="57"/>
      <c r="N339" s="57"/>
      <c r="T339" s="55"/>
    </row>
    <row r="340">
      <c r="A340" s="55"/>
      <c r="B340" s="55"/>
      <c r="D340" s="56"/>
      <c r="E340" s="57"/>
      <c r="H340" s="57"/>
      <c r="I340" s="57"/>
      <c r="J340" s="57"/>
      <c r="L340" s="57"/>
      <c r="N340" s="57"/>
      <c r="T340" s="55"/>
    </row>
    <row r="341">
      <c r="A341" s="55"/>
      <c r="B341" s="55"/>
      <c r="D341" s="56"/>
      <c r="E341" s="57"/>
      <c r="H341" s="57"/>
      <c r="I341" s="57"/>
      <c r="J341" s="57"/>
      <c r="L341" s="57"/>
      <c r="N341" s="57"/>
      <c r="T341" s="55"/>
    </row>
    <row r="342">
      <c r="A342" s="55"/>
      <c r="B342" s="55"/>
      <c r="D342" s="56"/>
      <c r="E342" s="57"/>
      <c r="H342" s="57"/>
      <c r="I342" s="57"/>
      <c r="J342" s="57"/>
      <c r="L342" s="57"/>
      <c r="N342" s="57"/>
      <c r="T342" s="55"/>
    </row>
    <row r="343">
      <c r="A343" s="55"/>
      <c r="B343" s="55"/>
      <c r="D343" s="56"/>
      <c r="E343" s="57"/>
      <c r="H343" s="57"/>
      <c r="I343" s="57"/>
      <c r="J343" s="57"/>
      <c r="L343" s="57"/>
      <c r="N343" s="57"/>
      <c r="T343" s="55"/>
    </row>
    <row r="344">
      <c r="A344" s="55"/>
      <c r="B344" s="55"/>
      <c r="D344" s="56"/>
      <c r="E344" s="57"/>
      <c r="H344" s="57"/>
      <c r="I344" s="57"/>
      <c r="J344" s="57"/>
      <c r="L344" s="57"/>
      <c r="N344" s="57"/>
      <c r="T344" s="55"/>
    </row>
    <row r="345">
      <c r="A345" s="55"/>
      <c r="B345" s="55"/>
      <c r="D345" s="56"/>
      <c r="E345" s="57"/>
      <c r="H345" s="57"/>
      <c r="I345" s="57"/>
      <c r="J345" s="57"/>
      <c r="L345" s="57"/>
      <c r="N345" s="57"/>
      <c r="T345" s="55"/>
    </row>
    <row r="346">
      <c r="A346" s="55"/>
      <c r="B346" s="55"/>
      <c r="D346" s="56"/>
      <c r="E346" s="57"/>
      <c r="H346" s="57"/>
      <c r="I346" s="57"/>
      <c r="J346" s="57"/>
      <c r="L346" s="57"/>
      <c r="N346" s="57"/>
      <c r="T346" s="55"/>
    </row>
    <row r="347">
      <c r="A347" s="55"/>
      <c r="B347" s="55"/>
      <c r="D347" s="56"/>
      <c r="E347" s="57"/>
      <c r="H347" s="57"/>
      <c r="I347" s="57"/>
      <c r="J347" s="57"/>
      <c r="L347" s="57"/>
      <c r="N347" s="57"/>
      <c r="T347" s="55"/>
    </row>
    <row r="348">
      <c r="A348" s="55"/>
      <c r="B348" s="55"/>
      <c r="D348" s="56"/>
      <c r="E348" s="57"/>
      <c r="H348" s="57"/>
      <c r="I348" s="57"/>
      <c r="J348" s="57"/>
      <c r="L348" s="57"/>
      <c r="N348" s="57"/>
      <c r="T348" s="55"/>
    </row>
    <row r="349">
      <c r="A349" s="55"/>
      <c r="B349" s="55"/>
      <c r="D349" s="56"/>
      <c r="E349" s="57"/>
      <c r="H349" s="57"/>
      <c r="I349" s="57"/>
      <c r="J349" s="57"/>
      <c r="L349" s="57"/>
      <c r="N349" s="57"/>
      <c r="T349" s="55"/>
    </row>
    <row r="350">
      <c r="A350" s="55"/>
      <c r="B350" s="55"/>
      <c r="D350" s="56"/>
      <c r="E350" s="57"/>
      <c r="H350" s="57"/>
      <c r="I350" s="57"/>
      <c r="J350" s="57"/>
      <c r="L350" s="57"/>
      <c r="N350" s="57"/>
      <c r="T350" s="55"/>
    </row>
    <row r="351">
      <c r="A351" s="55"/>
      <c r="B351" s="55"/>
      <c r="D351" s="56"/>
      <c r="E351" s="57"/>
      <c r="H351" s="57"/>
      <c r="I351" s="57"/>
      <c r="J351" s="57"/>
      <c r="L351" s="57"/>
      <c r="N351" s="57"/>
      <c r="T351" s="55"/>
    </row>
    <row r="352">
      <c r="A352" s="55"/>
      <c r="B352" s="55"/>
      <c r="D352" s="56"/>
      <c r="E352" s="57"/>
      <c r="H352" s="57"/>
      <c r="I352" s="57"/>
      <c r="J352" s="57"/>
      <c r="L352" s="57"/>
      <c r="N352" s="57"/>
      <c r="T352" s="55"/>
    </row>
    <row r="353">
      <c r="A353" s="55"/>
      <c r="B353" s="55"/>
      <c r="D353" s="56"/>
      <c r="E353" s="57"/>
      <c r="H353" s="57"/>
      <c r="I353" s="57"/>
      <c r="J353" s="57"/>
      <c r="L353" s="57"/>
      <c r="N353" s="57"/>
      <c r="T353" s="55"/>
    </row>
    <row r="354">
      <c r="A354" s="55"/>
      <c r="B354" s="55"/>
      <c r="D354" s="56"/>
      <c r="E354" s="57"/>
      <c r="H354" s="57"/>
      <c r="I354" s="57"/>
      <c r="J354" s="57"/>
      <c r="L354" s="57"/>
      <c r="N354" s="57"/>
      <c r="T354" s="55"/>
    </row>
    <row r="355">
      <c r="A355" s="55"/>
      <c r="B355" s="55"/>
      <c r="D355" s="56"/>
      <c r="E355" s="57"/>
      <c r="H355" s="57"/>
      <c r="I355" s="57"/>
      <c r="J355" s="57"/>
      <c r="L355" s="57"/>
      <c r="N355" s="57"/>
      <c r="T355" s="55"/>
    </row>
    <row r="356">
      <c r="A356" s="55"/>
      <c r="B356" s="55"/>
      <c r="D356" s="56"/>
      <c r="E356" s="57"/>
      <c r="H356" s="57"/>
      <c r="I356" s="57"/>
      <c r="J356" s="57"/>
      <c r="L356" s="57"/>
      <c r="N356" s="57"/>
      <c r="T356" s="55"/>
    </row>
    <row r="357">
      <c r="A357" s="55"/>
      <c r="B357" s="55"/>
      <c r="D357" s="56"/>
      <c r="E357" s="57"/>
      <c r="H357" s="57"/>
      <c r="I357" s="57"/>
      <c r="J357" s="57"/>
      <c r="L357" s="57"/>
      <c r="N357" s="57"/>
      <c r="T357" s="55"/>
    </row>
    <row r="358">
      <c r="A358" s="55"/>
      <c r="B358" s="55"/>
      <c r="D358" s="56"/>
      <c r="E358" s="57"/>
      <c r="H358" s="57"/>
      <c r="I358" s="57"/>
      <c r="J358" s="57"/>
      <c r="L358" s="57"/>
      <c r="N358" s="57"/>
      <c r="T358" s="55"/>
    </row>
    <row r="359">
      <c r="A359" s="55"/>
      <c r="B359" s="55"/>
      <c r="D359" s="56"/>
      <c r="E359" s="57"/>
      <c r="H359" s="57"/>
      <c r="I359" s="57"/>
      <c r="J359" s="57"/>
      <c r="L359" s="57"/>
      <c r="N359" s="57"/>
      <c r="T359" s="55"/>
    </row>
    <row r="360">
      <c r="A360" s="55"/>
      <c r="B360" s="55"/>
      <c r="D360" s="56"/>
      <c r="E360" s="57"/>
      <c r="H360" s="57"/>
      <c r="I360" s="57"/>
      <c r="J360" s="57"/>
      <c r="L360" s="57"/>
      <c r="N360" s="57"/>
      <c r="T360" s="55"/>
    </row>
    <row r="361">
      <c r="A361" s="55"/>
      <c r="B361" s="55"/>
      <c r="D361" s="56"/>
      <c r="E361" s="57"/>
      <c r="H361" s="57"/>
      <c r="I361" s="57"/>
      <c r="J361" s="57"/>
      <c r="L361" s="57"/>
      <c r="N361" s="57"/>
      <c r="T361" s="55"/>
    </row>
    <row r="362">
      <c r="A362" s="55"/>
      <c r="B362" s="55"/>
      <c r="D362" s="56"/>
      <c r="E362" s="57"/>
      <c r="H362" s="57"/>
      <c r="I362" s="57"/>
      <c r="J362" s="57"/>
      <c r="L362" s="57"/>
      <c r="N362" s="57"/>
      <c r="T362" s="55"/>
    </row>
    <row r="363">
      <c r="A363" s="55"/>
      <c r="B363" s="55"/>
      <c r="D363" s="56"/>
      <c r="E363" s="57"/>
      <c r="H363" s="57"/>
      <c r="I363" s="57"/>
      <c r="J363" s="57"/>
      <c r="L363" s="57"/>
      <c r="N363" s="57"/>
      <c r="T363" s="55"/>
    </row>
    <row r="364">
      <c r="A364" s="55"/>
      <c r="B364" s="55"/>
      <c r="D364" s="56"/>
      <c r="E364" s="57"/>
      <c r="H364" s="57"/>
      <c r="I364" s="57"/>
      <c r="J364" s="57"/>
      <c r="L364" s="57"/>
      <c r="N364" s="57"/>
      <c r="T364" s="55"/>
    </row>
    <row r="365">
      <c r="A365" s="55"/>
      <c r="B365" s="55"/>
      <c r="D365" s="56"/>
      <c r="E365" s="57"/>
      <c r="H365" s="57"/>
      <c r="I365" s="57"/>
      <c r="J365" s="57"/>
      <c r="L365" s="57"/>
      <c r="N365" s="57"/>
      <c r="T365" s="55"/>
    </row>
    <row r="366">
      <c r="A366" s="55"/>
      <c r="B366" s="55"/>
      <c r="D366" s="56"/>
      <c r="E366" s="57"/>
      <c r="H366" s="57"/>
      <c r="I366" s="57"/>
      <c r="J366" s="57"/>
      <c r="L366" s="57"/>
      <c r="N366" s="57"/>
      <c r="T366" s="55"/>
    </row>
    <row r="367">
      <c r="A367" s="55"/>
      <c r="B367" s="55"/>
      <c r="D367" s="56"/>
      <c r="E367" s="57"/>
      <c r="H367" s="57"/>
      <c r="I367" s="57"/>
      <c r="J367" s="57"/>
      <c r="L367" s="57"/>
      <c r="N367" s="57"/>
      <c r="T367" s="55"/>
    </row>
    <row r="368">
      <c r="A368" s="55"/>
      <c r="B368" s="55"/>
      <c r="D368" s="56"/>
      <c r="E368" s="57"/>
      <c r="H368" s="57"/>
      <c r="I368" s="57"/>
      <c r="J368" s="57"/>
      <c r="L368" s="57"/>
      <c r="N368" s="57"/>
      <c r="T368" s="55"/>
    </row>
    <row r="369">
      <c r="A369" s="55"/>
      <c r="B369" s="55"/>
      <c r="D369" s="56"/>
      <c r="E369" s="57"/>
      <c r="H369" s="57"/>
      <c r="I369" s="57"/>
      <c r="J369" s="57"/>
      <c r="L369" s="57"/>
      <c r="N369" s="57"/>
      <c r="T369" s="55"/>
    </row>
    <row r="370">
      <c r="A370" s="55"/>
      <c r="B370" s="55"/>
      <c r="D370" s="56"/>
      <c r="E370" s="57"/>
      <c r="H370" s="57"/>
      <c r="I370" s="57"/>
      <c r="J370" s="57"/>
      <c r="L370" s="57"/>
      <c r="N370" s="57"/>
      <c r="T370" s="55"/>
    </row>
    <row r="371">
      <c r="A371" s="55"/>
      <c r="B371" s="55"/>
      <c r="D371" s="56"/>
      <c r="E371" s="57"/>
      <c r="H371" s="57"/>
      <c r="I371" s="57"/>
      <c r="J371" s="57"/>
      <c r="L371" s="57"/>
      <c r="N371" s="57"/>
      <c r="T371" s="55"/>
    </row>
    <row r="372">
      <c r="A372" s="55"/>
      <c r="B372" s="55"/>
      <c r="D372" s="56"/>
      <c r="E372" s="57"/>
      <c r="H372" s="57"/>
      <c r="I372" s="57"/>
      <c r="J372" s="57"/>
      <c r="L372" s="57"/>
      <c r="N372" s="57"/>
      <c r="T372" s="55"/>
    </row>
    <row r="373">
      <c r="A373" s="55"/>
      <c r="B373" s="55"/>
      <c r="D373" s="56"/>
      <c r="E373" s="57"/>
      <c r="H373" s="57"/>
      <c r="I373" s="57"/>
      <c r="J373" s="57"/>
      <c r="L373" s="57"/>
      <c r="N373" s="57"/>
      <c r="T373" s="55"/>
    </row>
    <row r="374">
      <c r="A374" s="55"/>
      <c r="B374" s="55"/>
      <c r="D374" s="56"/>
      <c r="E374" s="57"/>
      <c r="H374" s="57"/>
      <c r="I374" s="57"/>
      <c r="J374" s="57"/>
      <c r="L374" s="57"/>
      <c r="N374" s="57"/>
      <c r="T374" s="55"/>
    </row>
    <row r="375">
      <c r="A375" s="55"/>
      <c r="B375" s="55"/>
      <c r="D375" s="56"/>
      <c r="E375" s="57"/>
      <c r="H375" s="57"/>
      <c r="I375" s="57"/>
      <c r="J375" s="57"/>
      <c r="L375" s="57"/>
      <c r="N375" s="57"/>
      <c r="T375" s="55"/>
    </row>
    <row r="376">
      <c r="A376" s="55"/>
      <c r="B376" s="55"/>
      <c r="D376" s="56"/>
      <c r="E376" s="57"/>
      <c r="H376" s="57"/>
      <c r="I376" s="57"/>
      <c r="J376" s="57"/>
      <c r="L376" s="57"/>
      <c r="N376" s="57"/>
      <c r="T376" s="55"/>
    </row>
    <row r="377">
      <c r="A377" s="55"/>
      <c r="B377" s="55"/>
      <c r="D377" s="56"/>
      <c r="E377" s="57"/>
      <c r="H377" s="57"/>
      <c r="I377" s="57"/>
      <c r="J377" s="57"/>
      <c r="L377" s="57"/>
      <c r="N377" s="57"/>
      <c r="T377" s="55"/>
    </row>
    <row r="378">
      <c r="A378" s="55"/>
      <c r="B378" s="55"/>
      <c r="D378" s="56"/>
      <c r="E378" s="57"/>
      <c r="H378" s="57"/>
      <c r="I378" s="57"/>
      <c r="J378" s="57"/>
      <c r="L378" s="57"/>
      <c r="N378" s="57"/>
      <c r="T378" s="55"/>
    </row>
    <row r="379">
      <c r="A379" s="55"/>
      <c r="B379" s="55"/>
      <c r="D379" s="56"/>
      <c r="E379" s="57"/>
      <c r="H379" s="57"/>
      <c r="I379" s="57"/>
      <c r="J379" s="57"/>
      <c r="L379" s="57"/>
      <c r="N379" s="57"/>
      <c r="T379" s="55"/>
    </row>
    <row r="380">
      <c r="A380" s="55"/>
      <c r="B380" s="55"/>
      <c r="D380" s="56"/>
      <c r="E380" s="57"/>
      <c r="H380" s="57"/>
      <c r="I380" s="57"/>
      <c r="J380" s="57"/>
      <c r="L380" s="57"/>
      <c r="N380" s="57"/>
      <c r="T380" s="55"/>
    </row>
    <row r="381">
      <c r="A381" s="55"/>
      <c r="B381" s="55"/>
      <c r="D381" s="56"/>
      <c r="E381" s="57"/>
      <c r="H381" s="57"/>
      <c r="I381" s="57"/>
      <c r="J381" s="57"/>
      <c r="L381" s="57"/>
      <c r="N381" s="57"/>
      <c r="T381" s="55"/>
    </row>
    <row r="382">
      <c r="A382" s="55"/>
      <c r="B382" s="55"/>
      <c r="D382" s="56"/>
      <c r="E382" s="57"/>
      <c r="H382" s="57"/>
      <c r="I382" s="57"/>
      <c r="J382" s="57"/>
      <c r="L382" s="57"/>
      <c r="N382" s="57"/>
      <c r="T382" s="55"/>
    </row>
    <row r="383">
      <c r="A383" s="55"/>
      <c r="B383" s="55"/>
      <c r="D383" s="56"/>
      <c r="E383" s="57"/>
      <c r="H383" s="57"/>
      <c r="I383" s="57"/>
      <c r="J383" s="57"/>
      <c r="L383" s="57"/>
      <c r="N383" s="57"/>
      <c r="T383" s="55"/>
    </row>
    <row r="384">
      <c r="A384" s="55"/>
      <c r="B384" s="55"/>
      <c r="D384" s="56"/>
      <c r="E384" s="57"/>
      <c r="H384" s="57"/>
      <c r="I384" s="57"/>
      <c r="J384" s="57"/>
      <c r="L384" s="57"/>
      <c r="N384" s="57"/>
      <c r="T384" s="55"/>
    </row>
    <row r="385">
      <c r="A385" s="55"/>
      <c r="B385" s="55"/>
      <c r="D385" s="56"/>
      <c r="E385" s="57"/>
      <c r="H385" s="57"/>
      <c r="I385" s="57"/>
      <c r="J385" s="57"/>
      <c r="L385" s="57"/>
      <c r="N385" s="57"/>
      <c r="T385" s="55"/>
    </row>
    <row r="386">
      <c r="A386" s="55"/>
      <c r="B386" s="55"/>
      <c r="D386" s="56"/>
      <c r="E386" s="57"/>
      <c r="H386" s="57"/>
      <c r="I386" s="57"/>
      <c r="J386" s="57"/>
      <c r="L386" s="57"/>
      <c r="N386" s="57"/>
      <c r="T386" s="55"/>
    </row>
    <row r="387">
      <c r="A387" s="55"/>
      <c r="B387" s="55"/>
      <c r="D387" s="56"/>
      <c r="E387" s="57"/>
      <c r="H387" s="57"/>
      <c r="I387" s="57"/>
      <c r="J387" s="57"/>
      <c r="L387" s="57"/>
      <c r="N387" s="57"/>
      <c r="T387" s="55"/>
    </row>
    <row r="388">
      <c r="A388" s="55"/>
      <c r="B388" s="55"/>
      <c r="D388" s="56"/>
      <c r="E388" s="57"/>
      <c r="H388" s="57"/>
      <c r="I388" s="57"/>
      <c r="J388" s="57"/>
      <c r="L388" s="57"/>
      <c r="N388" s="57"/>
      <c r="T388" s="55"/>
    </row>
    <row r="389">
      <c r="A389" s="55"/>
      <c r="B389" s="55"/>
      <c r="D389" s="56"/>
      <c r="E389" s="57"/>
      <c r="H389" s="57"/>
      <c r="I389" s="57"/>
      <c r="J389" s="57"/>
      <c r="L389" s="57"/>
      <c r="N389" s="57"/>
      <c r="T389" s="55"/>
    </row>
    <row r="390">
      <c r="A390" s="55"/>
      <c r="B390" s="55"/>
      <c r="D390" s="56"/>
      <c r="E390" s="57"/>
      <c r="H390" s="57"/>
      <c r="I390" s="57"/>
      <c r="J390" s="57"/>
      <c r="L390" s="57"/>
      <c r="N390" s="57"/>
      <c r="T390" s="55"/>
    </row>
    <row r="391">
      <c r="A391" s="55"/>
      <c r="B391" s="55"/>
      <c r="D391" s="56"/>
      <c r="E391" s="57"/>
      <c r="H391" s="57"/>
      <c r="I391" s="57"/>
      <c r="J391" s="57"/>
      <c r="L391" s="57"/>
      <c r="N391" s="57"/>
      <c r="T391" s="55"/>
    </row>
    <row r="392">
      <c r="A392" s="55"/>
      <c r="B392" s="55"/>
      <c r="D392" s="56"/>
      <c r="E392" s="57"/>
      <c r="H392" s="57"/>
      <c r="I392" s="57"/>
      <c r="J392" s="57"/>
      <c r="L392" s="57"/>
      <c r="N392" s="57"/>
      <c r="T392" s="55"/>
    </row>
    <row r="393">
      <c r="A393" s="55"/>
      <c r="B393" s="55"/>
      <c r="D393" s="56"/>
      <c r="E393" s="57"/>
      <c r="H393" s="57"/>
      <c r="I393" s="57"/>
      <c r="J393" s="57"/>
      <c r="L393" s="57"/>
      <c r="N393" s="57"/>
      <c r="T393" s="55"/>
    </row>
    <row r="394">
      <c r="A394" s="55"/>
      <c r="B394" s="55"/>
      <c r="D394" s="56"/>
      <c r="E394" s="57"/>
      <c r="H394" s="57"/>
      <c r="I394" s="57"/>
      <c r="J394" s="57"/>
      <c r="L394" s="57"/>
      <c r="N394" s="57"/>
      <c r="T394" s="55"/>
    </row>
    <row r="395">
      <c r="A395" s="55"/>
      <c r="B395" s="55"/>
      <c r="D395" s="56"/>
      <c r="E395" s="57"/>
      <c r="H395" s="57"/>
      <c r="I395" s="57"/>
      <c r="J395" s="57"/>
      <c r="L395" s="57"/>
      <c r="N395" s="57"/>
      <c r="T395" s="55"/>
    </row>
    <row r="396">
      <c r="A396" s="55"/>
      <c r="B396" s="55"/>
      <c r="D396" s="56"/>
      <c r="E396" s="57"/>
      <c r="H396" s="57"/>
      <c r="I396" s="57"/>
      <c r="J396" s="57"/>
      <c r="L396" s="57"/>
      <c r="N396" s="57"/>
      <c r="T396" s="55"/>
    </row>
    <row r="397">
      <c r="A397" s="55"/>
      <c r="B397" s="55"/>
      <c r="D397" s="56"/>
      <c r="E397" s="57"/>
      <c r="H397" s="57"/>
      <c r="I397" s="57"/>
      <c r="J397" s="57"/>
      <c r="L397" s="57"/>
      <c r="N397" s="57"/>
      <c r="T397" s="55"/>
    </row>
    <row r="398">
      <c r="A398" s="55"/>
      <c r="B398" s="55"/>
      <c r="D398" s="56"/>
      <c r="E398" s="57"/>
      <c r="H398" s="57"/>
      <c r="I398" s="57"/>
      <c r="J398" s="57"/>
      <c r="L398" s="57"/>
      <c r="N398" s="57"/>
      <c r="T398" s="55"/>
    </row>
    <row r="399">
      <c r="A399" s="55"/>
      <c r="B399" s="55"/>
      <c r="D399" s="56"/>
      <c r="E399" s="57"/>
      <c r="H399" s="57"/>
      <c r="I399" s="57"/>
      <c r="J399" s="57"/>
      <c r="L399" s="57"/>
      <c r="N399" s="57"/>
      <c r="T399" s="55"/>
    </row>
    <row r="400">
      <c r="A400" s="55"/>
      <c r="B400" s="55"/>
      <c r="D400" s="56"/>
      <c r="E400" s="57"/>
      <c r="H400" s="57"/>
      <c r="I400" s="57"/>
      <c r="J400" s="57"/>
      <c r="L400" s="57"/>
      <c r="N400" s="57"/>
      <c r="T400" s="55"/>
    </row>
    <row r="401">
      <c r="A401" s="55"/>
      <c r="B401" s="55"/>
      <c r="D401" s="56"/>
      <c r="E401" s="57"/>
      <c r="H401" s="57"/>
      <c r="I401" s="57"/>
      <c r="J401" s="57"/>
      <c r="L401" s="57"/>
      <c r="N401" s="57"/>
      <c r="T401" s="55"/>
    </row>
    <row r="402">
      <c r="A402" s="55"/>
      <c r="B402" s="55"/>
      <c r="D402" s="56"/>
      <c r="E402" s="57"/>
      <c r="H402" s="57"/>
      <c r="I402" s="57"/>
      <c r="J402" s="57"/>
      <c r="L402" s="57"/>
      <c r="N402" s="57"/>
      <c r="T402" s="55"/>
    </row>
    <row r="403">
      <c r="A403" s="55"/>
      <c r="B403" s="55"/>
      <c r="D403" s="56"/>
      <c r="E403" s="57"/>
      <c r="H403" s="57"/>
      <c r="I403" s="57"/>
      <c r="J403" s="57"/>
      <c r="L403" s="57"/>
      <c r="N403" s="57"/>
      <c r="T403" s="55"/>
    </row>
    <row r="404">
      <c r="A404" s="55"/>
      <c r="B404" s="55"/>
      <c r="D404" s="56"/>
      <c r="E404" s="57"/>
      <c r="H404" s="57"/>
      <c r="I404" s="57"/>
      <c r="J404" s="57"/>
      <c r="L404" s="57"/>
      <c r="N404" s="57"/>
      <c r="T404" s="55"/>
    </row>
    <row r="405">
      <c r="A405" s="55"/>
      <c r="B405" s="55"/>
      <c r="D405" s="56"/>
      <c r="E405" s="57"/>
      <c r="H405" s="57"/>
      <c r="I405" s="57"/>
      <c r="J405" s="57"/>
      <c r="L405" s="57"/>
      <c r="N405" s="57"/>
      <c r="T405" s="55"/>
    </row>
    <row r="406">
      <c r="A406" s="55"/>
      <c r="B406" s="55"/>
      <c r="D406" s="56"/>
      <c r="E406" s="57"/>
      <c r="H406" s="57"/>
      <c r="I406" s="57"/>
      <c r="J406" s="57"/>
      <c r="L406" s="57"/>
      <c r="N406" s="57"/>
      <c r="T406" s="55"/>
    </row>
    <row r="407">
      <c r="A407" s="55"/>
      <c r="B407" s="55"/>
      <c r="D407" s="56"/>
      <c r="E407" s="57"/>
      <c r="H407" s="57"/>
      <c r="I407" s="57"/>
      <c r="J407" s="57"/>
      <c r="L407" s="57"/>
      <c r="N407" s="57"/>
      <c r="T407" s="55"/>
    </row>
    <row r="408">
      <c r="A408" s="55"/>
      <c r="B408" s="55"/>
      <c r="D408" s="56"/>
      <c r="E408" s="57"/>
      <c r="H408" s="57"/>
      <c r="I408" s="57"/>
      <c r="J408" s="57"/>
      <c r="L408" s="57"/>
      <c r="N408" s="57"/>
      <c r="T408" s="55"/>
    </row>
    <row r="409">
      <c r="A409" s="55"/>
      <c r="B409" s="55"/>
      <c r="D409" s="56"/>
      <c r="E409" s="57"/>
      <c r="H409" s="57"/>
      <c r="I409" s="57"/>
      <c r="J409" s="57"/>
      <c r="L409" s="57"/>
      <c r="N409" s="57"/>
      <c r="T409" s="55"/>
    </row>
    <row r="410">
      <c r="A410" s="55"/>
      <c r="B410" s="55"/>
      <c r="D410" s="56"/>
      <c r="E410" s="57"/>
      <c r="H410" s="57"/>
      <c r="I410" s="57"/>
      <c r="J410" s="57"/>
      <c r="L410" s="57"/>
      <c r="N410" s="57"/>
      <c r="T410" s="55"/>
    </row>
    <row r="411">
      <c r="A411" s="55"/>
      <c r="B411" s="55"/>
      <c r="D411" s="56"/>
      <c r="E411" s="57"/>
      <c r="H411" s="57"/>
      <c r="I411" s="57"/>
      <c r="J411" s="57"/>
      <c r="L411" s="57"/>
      <c r="N411" s="57"/>
      <c r="T411" s="55"/>
    </row>
    <row r="412">
      <c r="A412" s="55"/>
      <c r="B412" s="55"/>
      <c r="D412" s="56"/>
      <c r="E412" s="57"/>
      <c r="H412" s="57"/>
      <c r="I412" s="57"/>
      <c r="J412" s="57"/>
      <c r="L412" s="57"/>
      <c r="N412" s="57"/>
      <c r="T412" s="55"/>
    </row>
    <row r="413">
      <c r="A413" s="55"/>
      <c r="B413" s="55"/>
      <c r="D413" s="56"/>
      <c r="E413" s="57"/>
      <c r="H413" s="57"/>
      <c r="I413" s="57"/>
      <c r="J413" s="57"/>
      <c r="L413" s="57"/>
      <c r="N413" s="57"/>
      <c r="T413" s="55"/>
    </row>
    <row r="414">
      <c r="A414" s="55"/>
      <c r="B414" s="55"/>
      <c r="D414" s="56"/>
      <c r="E414" s="57"/>
      <c r="H414" s="57"/>
      <c r="I414" s="57"/>
      <c r="J414" s="57"/>
      <c r="L414" s="57"/>
      <c r="N414" s="57"/>
      <c r="T414" s="55"/>
    </row>
    <row r="415">
      <c r="A415" s="55"/>
      <c r="B415" s="55"/>
      <c r="D415" s="56"/>
      <c r="E415" s="57"/>
      <c r="H415" s="57"/>
      <c r="I415" s="57"/>
      <c r="J415" s="57"/>
      <c r="L415" s="57"/>
      <c r="N415" s="57"/>
      <c r="T415" s="55"/>
    </row>
    <row r="416">
      <c r="A416" s="55"/>
      <c r="B416" s="55"/>
      <c r="D416" s="56"/>
      <c r="E416" s="57"/>
      <c r="H416" s="57"/>
      <c r="I416" s="57"/>
      <c r="J416" s="57"/>
      <c r="L416" s="57"/>
      <c r="N416" s="57"/>
      <c r="T416" s="55"/>
    </row>
    <row r="417">
      <c r="A417" s="55"/>
      <c r="B417" s="55"/>
      <c r="D417" s="56"/>
      <c r="E417" s="57"/>
      <c r="H417" s="57"/>
      <c r="I417" s="57"/>
      <c r="J417" s="57"/>
      <c r="L417" s="57"/>
      <c r="N417" s="57"/>
      <c r="T417" s="55"/>
    </row>
    <row r="418">
      <c r="A418" s="55"/>
      <c r="B418" s="55"/>
      <c r="D418" s="56"/>
      <c r="E418" s="57"/>
      <c r="H418" s="57"/>
      <c r="I418" s="57"/>
      <c r="J418" s="57"/>
      <c r="L418" s="57"/>
      <c r="N418" s="57"/>
      <c r="T418" s="55"/>
    </row>
    <row r="419">
      <c r="A419" s="55"/>
      <c r="B419" s="55"/>
      <c r="D419" s="56"/>
      <c r="E419" s="57"/>
      <c r="H419" s="57"/>
      <c r="I419" s="57"/>
      <c r="J419" s="57"/>
      <c r="L419" s="57"/>
      <c r="N419" s="57"/>
      <c r="T419" s="55"/>
    </row>
    <row r="420">
      <c r="A420" s="55"/>
      <c r="B420" s="55"/>
      <c r="D420" s="56"/>
      <c r="E420" s="57"/>
      <c r="H420" s="57"/>
      <c r="I420" s="57"/>
      <c r="J420" s="57"/>
      <c r="L420" s="57"/>
      <c r="N420" s="57"/>
      <c r="T420" s="55"/>
    </row>
    <row r="421">
      <c r="A421" s="55"/>
      <c r="B421" s="55"/>
      <c r="D421" s="56"/>
      <c r="E421" s="57"/>
      <c r="H421" s="57"/>
      <c r="I421" s="57"/>
      <c r="J421" s="57"/>
      <c r="L421" s="57"/>
      <c r="N421" s="57"/>
      <c r="T421" s="55"/>
    </row>
    <row r="422">
      <c r="A422" s="55"/>
      <c r="B422" s="55"/>
      <c r="D422" s="56"/>
      <c r="E422" s="57"/>
      <c r="H422" s="57"/>
      <c r="I422" s="57"/>
      <c r="J422" s="57"/>
      <c r="L422" s="57"/>
      <c r="N422" s="57"/>
      <c r="T422" s="55"/>
    </row>
    <row r="423">
      <c r="A423" s="55"/>
      <c r="B423" s="55"/>
      <c r="D423" s="56"/>
      <c r="E423" s="57"/>
      <c r="H423" s="57"/>
      <c r="I423" s="57"/>
      <c r="J423" s="57"/>
      <c r="L423" s="57"/>
      <c r="N423" s="57"/>
      <c r="T423" s="55"/>
    </row>
    <row r="424">
      <c r="A424" s="55"/>
      <c r="B424" s="55"/>
      <c r="D424" s="56"/>
      <c r="E424" s="57"/>
      <c r="H424" s="57"/>
      <c r="I424" s="57"/>
      <c r="J424" s="57"/>
      <c r="L424" s="57"/>
      <c r="N424" s="57"/>
      <c r="T424" s="55"/>
    </row>
    <row r="425">
      <c r="A425" s="55"/>
      <c r="B425" s="55"/>
      <c r="D425" s="56"/>
      <c r="E425" s="57"/>
      <c r="H425" s="57"/>
      <c r="I425" s="57"/>
      <c r="J425" s="57"/>
      <c r="L425" s="57"/>
      <c r="N425" s="57"/>
      <c r="T425" s="55"/>
    </row>
    <row r="426">
      <c r="A426" s="55"/>
      <c r="B426" s="55"/>
      <c r="D426" s="56"/>
      <c r="E426" s="57"/>
      <c r="H426" s="57"/>
      <c r="I426" s="57"/>
      <c r="J426" s="57"/>
      <c r="L426" s="57"/>
      <c r="N426" s="57"/>
      <c r="T426" s="55"/>
    </row>
    <row r="427">
      <c r="A427" s="55"/>
      <c r="B427" s="55"/>
      <c r="D427" s="56"/>
      <c r="E427" s="57"/>
      <c r="H427" s="57"/>
      <c r="I427" s="57"/>
      <c r="J427" s="57"/>
      <c r="L427" s="57"/>
      <c r="N427" s="57"/>
      <c r="T427" s="55"/>
    </row>
    <row r="428">
      <c r="A428" s="55"/>
      <c r="B428" s="55"/>
      <c r="D428" s="56"/>
      <c r="E428" s="57"/>
      <c r="H428" s="57"/>
      <c r="I428" s="57"/>
      <c r="J428" s="57"/>
      <c r="L428" s="57"/>
      <c r="N428" s="57"/>
      <c r="T428" s="55"/>
    </row>
    <row r="429">
      <c r="A429" s="55"/>
      <c r="B429" s="55"/>
      <c r="D429" s="56"/>
      <c r="E429" s="57"/>
      <c r="H429" s="57"/>
      <c r="I429" s="57"/>
      <c r="J429" s="57"/>
      <c r="L429" s="57"/>
      <c r="N429" s="57"/>
      <c r="T429" s="55"/>
    </row>
    <row r="430">
      <c r="A430" s="55"/>
      <c r="B430" s="55"/>
      <c r="D430" s="56"/>
      <c r="E430" s="57"/>
      <c r="H430" s="57"/>
      <c r="I430" s="57"/>
      <c r="J430" s="57"/>
      <c r="L430" s="57"/>
      <c r="N430" s="57"/>
      <c r="T430" s="55"/>
    </row>
    <row r="431">
      <c r="A431" s="55"/>
      <c r="B431" s="55"/>
      <c r="D431" s="56"/>
      <c r="E431" s="57"/>
      <c r="H431" s="57"/>
      <c r="I431" s="57"/>
      <c r="J431" s="57"/>
      <c r="L431" s="57"/>
      <c r="N431" s="57"/>
      <c r="T431" s="55"/>
    </row>
    <row r="432">
      <c r="A432" s="55"/>
      <c r="B432" s="55"/>
      <c r="D432" s="56"/>
      <c r="E432" s="57"/>
      <c r="H432" s="57"/>
      <c r="I432" s="57"/>
      <c r="J432" s="57"/>
      <c r="L432" s="57"/>
      <c r="N432" s="57"/>
      <c r="T432" s="55"/>
    </row>
    <row r="433">
      <c r="A433" s="55"/>
      <c r="B433" s="55"/>
      <c r="D433" s="56"/>
      <c r="E433" s="57"/>
      <c r="H433" s="57"/>
      <c r="I433" s="57"/>
      <c r="J433" s="57"/>
      <c r="L433" s="57"/>
      <c r="N433" s="57"/>
      <c r="T433" s="55"/>
    </row>
    <row r="434">
      <c r="A434" s="55"/>
      <c r="B434" s="55"/>
      <c r="D434" s="56"/>
      <c r="E434" s="57"/>
      <c r="H434" s="57"/>
      <c r="I434" s="57"/>
      <c r="J434" s="57"/>
      <c r="L434" s="57"/>
      <c r="N434" s="57"/>
      <c r="T434" s="55"/>
    </row>
    <row r="435">
      <c r="A435" s="55"/>
      <c r="B435" s="55"/>
      <c r="D435" s="56"/>
      <c r="E435" s="57"/>
      <c r="H435" s="57"/>
      <c r="I435" s="57"/>
      <c r="J435" s="57"/>
      <c r="L435" s="57"/>
      <c r="N435" s="57"/>
      <c r="T435" s="55"/>
    </row>
    <row r="436">
      <c r="A436" s="55"/>
      <c r="B436" s="55"/>
      <c r="D436" s="56"/>
      <c r="E436" s="57"/>
      <c r="H436" s="57"/>
      <c r="I436" s="57"/>
      <c r="J436" s="57"/>
      <c r="L436" s="57"/>
      <c r="N436" s="57"/>
      <c r="T436" s="55"/>
    </row>
    <row r="437">
      <c r="A437" s="55"/>
      <c r="B437" s="55"/>
      <c r="D437" s="56"/>
      <c r="E437" s="57"/>
      <c r="H437" s="57"/>
      <c r="I437" s="57"/>
      <c r="J437" s="57"/>
      <c r="L437" s="57"/>
      <c r="N437" s="57"/>
      <c r="T437" s="55"/>
    </row>
    <row r="438">
      <c r="A438" s="55"/>
      <c r="B438" s="55"/>
      <c r="D438" s="56"/>
      <c r="E438" s="57"/>
      <c r="H438" s="57"/>
      <c r="I438" s="57"/>
      <c r="J438" s="57"/>
      <c r="L438" s="57"/>
      <c r="N438" s="57"/>
      <c r="T438" s="55"/>
    </row>
    <row r="439">
      <c r="A439" s="55"/>
      <c r="B439" s="55"/>
      <c r="D439" s="56"/>
      <c r="E439" s="57"/>
      <c r="H439" s="57"/>
      <c r="I439" s="57"/>
      <c r="J439" s="57"/>
      <c r="L439" s="57"/>
      <c r="N439" s="57"/>
      <c r="T439" s="55"/>
    </row>
    <row r="440">
      <c r="A440" s="55"/>
      <c r="B440" s="55"/>
      <c r="D440" s="56"/>
      <c r="E440" s="57"/>
      <c r="H440" s="57"/>
      <c r="I440" s="57"/>
      <c r="J440" s="57"/>
      <c r="L440" s="57"/>
      <c r="N440" s="57"/>
      <c r="T440" s="55"/>
    </row>
    <row r="441">
      <c r="A441" s="55"/>
      <c r="B441" s="55"/>
      <c r="D441" s="56"/>
      <c r="E441" s="57"/>
      <c r="H441" s="57"/>
      <c r="I441" s="57"/>
      <c r="J441" s="57"/>
      <c r="L441" s="57"/>
      <c r="N441" s="57"/>
      <c r="T441" s="55"/>
    </row>
    <row r="442">
      <c r="A442" s="55"/>
      <c r="B442" s="55"/>
      <c r="D442" s="56"/>
      <c r="E442" s="57"/>
      <c r="H442" s="57"/>
      <c r="I442" s="57"/>
      <c r="J442" s="57"/>
      <c r="L442" s="57"/>
      <c r="N442" s="57"/>
      <c r="T442" s="55"/>
    </row>
    <row r="443">
      <c r="A443" s="55"/>
      <c r="B443" s="55"/>
      <c r="D443" s="56"/>
      <c r="E443" s="57"/>
      <c r="H443" s="57"/>
      <c r="I443" s="57"/>
      <c r="J443" s="57"/>
      <c r="L443" s="57"/>
      <c r="N443" s="57"/>
      <c r="T443" s="55"/>
    </row>
    <row r="444">
      <c r="A444" s="55"/>
      <c r="B444" s="55"/>
      <c r="D444" s="56"/>
      <c r="E444" s="57"/>
      <c r="H444" s="57"/>
      <c r="I444" s="57"/>
      <c r="J444" s="57"/>
      <c r="L444" s="57"/>
      <c r="N444" s="57"/>
      <c r="T444" s="55"/>
    </row>
    <row r="445">
      <c r="A445" s="55"/>
      <c r="B445" s="55"/>
      <c r="D445" s="56"/>
      <c r="E445" s="57"/>
      <c r="H445" s="57"/>
      <c r="I445" s="57"/>
      <c r="J445" s="57"/>
      <c r="L445" s="57"/>
      <c r="N445" s="57"/>
      <c r="T445" s="55"/>
    </row>
    <row r="446">
      <c r="A446" s="55"/>
      <c r="B446" s="55"/>
      <c r="D446" s="56"/>
      <c r="E446" s="57"/>
      <c r="H446" s="57"/>
      <c r="I446" s="57"/>
      <c r="J446" s="57"/>
      <c r="L446" s="57"/>
      <c r="N446" s="57"/>
      <c r="T446" s="55"/>
    </row>
    <row r="447">
      <c r="A447" s="55"/>
      <c r="B447" s="55"/>
      <c r="D447" s="56"/>
      <c r="E447" s="57"/>
      <c r="H447" s="57"/>
      <c r="I447" s="57"/>
      <c r="J447" s="57"/>
      <c r="L447" s="57"/>
      <c r="N447" s="57"/>
      <c r="T447" s="55"/>
    </row>
    <row r="448">
      <c r="A448" s="55"/>
      <c r="B448" s="55"/>
      <c r="D448" s="56"/>
      <c r="E448" s="57"/>
      <c r="H448" s="57"/>
      <c r="I448" s="57"/>
      <c r="J448" s="57"/>
      <c r="L448" s="57"/>
      <c r="N448" s="57"/>
      <c r="T448" s="55"/>
    </row>
    <row r="449">
      <c r="A449" s="55"/>
      <c r="B449" s="55"/>
      <c r="D449" s="56"/>
      <c r="E449" s="57"/>
      <c r="H449" s="57"/>
      <c r="I449" s="57"/>
      <c r="J449" s="57"/>
      <c r="L449" s="57"/>
      <c r="N449" s="57"/>
      <c r="T449" s="55"/>
    </row>
    <row r="450">
      <c r="A450" s="55"/>
      <c r="B450" s="55"/>
      <c r="D450" s="56"/>
      <c r="E450" s="57"/>
      <c r="H450" s="57"/>
      <c r="I450" s="57"/>
      <c r="J450" s="57"/>
      <c r="L450" s="57"/>
      <c r="N450" s="57"/>
      <c r="T450" s="55"/>
    </row>
    <row r="451">
      <c r="A451" s="55"/>
      <c r="B451" s="55"/>
      <c r="D451" s="56"/>
      <c r="E451" s="57"/>
      <c r="H451" s="57"/>
      <c r="I451" s="57"/>
      <c r="J451" s="57"/>
      <c r="L451" s="57"/>
      <c r="N451" s="57"/>
      <c r="T451" s="55"/>
    </row>
    <row r="452">
      <c r="A452" s="55"/>
      <c r="B452" s="55"/>
      <c r="D452" s="56"/>
      <c r="E452" s="57"/>
      <c r="H452" s="57"/>
      <c r="I452" s="57"/>
      <c r="J452" s="57"/>
      <c r="L452" s="57"/>
      <c r="N452" s="57"/>
      <c r="T452" s="55"/>
    </row>
    <row r="453">
      <c r="A453" s="55"/>
      <c r="B453" s="55"/>
      <c r="D453" s="56"/>
      <c r="E453" s="57"/>
      <c r="H453" s="57"/>
      <c r="I453" s="57"/>
      <c r="J453" s="57"/>
      <c r="L453" s="57"/>
      <c r="N453" s="57"/>
      <c r="T453" s="55"/>
    </row>
    <row r="454">
      <c r="A454" s="55"/>
      <c r="B454" s="55"/>
      <c r="D454" s="56"/>
      <c r="E454" s="57"/>
      <c r="H454" s="57"/>
      <c r="I454" s="57"/>
      <c r="J454" s="57"/>
      <c r="L454" s="57"/>
      <c r="N454" s="57"/>
      <c r="T454" s="55"/>
    </row>
    <row r="455">
      <c r="A455" s="55"/>
      <c r="B455" s="55"/>
      <c r="D455" s="56"/>
      <c r="E455" s="57"/>
      <c r="H455" s="57"/>
      <c r="I455" s="57"/>
      <c r="J455" s="57"/>
      <c r="L455" s="57"/>
      <c r="N455" s="57"/>
      <c r="T455" s="55"/>
    </row>
    <row r="456">
      <c r="A456" s="55"/>
      <c r="B456" s="55"/>
      <c r="D456" s="56"/>
      <c r="E456" s="57"/>
      <c r="H456" s="57"/>
      <c r="I456" s="57"/>
      <c r="J456" s="57"/>
      <c r="L456" s="57"/>
      <c r="N456" s="57"/>
      <c r="T456" s="55"/>
    </row>
    <row r="457">
      <c r="A457" s="55"/>
      <c r="B457" s="55"/>
      <c r="D457" s="56"/>
      <c r="E457" s="57"/>
      <c r="H457" s="57"/>
      <c r="I457" s="57"/>
      <c r="J457" s="57"/>
      <c r="L457" s="57"/>
      <c r="N457" s="57"/>
      <c r="T457" s="55"/>
    </row>
    <row r="458">
      <c r="A458" s="55"/>
      <c r="B458" s="55"/>
      <c r="D458" s="56"/>
      <c r="E458" s="57"/>
      <c r="H458" s="57"/>
      <c r="I458" s="57"/>
      <c r="J458" s="57"/>
      <c r="L458" s="57"/>
      <c r="N458" s="57"/>
      <c r="T458" s="55"/>
    </row>
    <row r="459">
      <c r="A459" s="55"/>
      <c r="B459" s="55"/>
      <c r="D459" s="56"/>
      <c r="E459" s="57"/>
      <c r="H459" s="57"/>
      <c r="I459" s="57"/>
      <c r="J459" s="57"/>
      <c r="L459" s="57"/>
      <c r="N459" s="57"/>
      <c r="T459" s="55"/>
    </row>
    <row r="460">
      <c r="A460" s="55"/>
      <c r="B460" s="55"/>
      <c r="D460" s="56"/>
      <c r="E460" s="57"/>
      <c r="H460" s="57"/>
      <c r="I460" s="57"/>
      <c r="J460" s="57"/>
      <c r="L460" s="57"/>
      <c r="N460" s="57"/>
      <c r="T460" s="55"/>
    </row>
    <row r="461">
      <c r="A461" s="55"/>
      <c r="B461" s="55"/>
      <c r="D461" s="56"/>
      <c r="E461" s="57"/>
      <c r="H461" s="57"/>
      <c r="I461" s="57"/>
      <c r="J461" s="57"/>
      <c r="L461" s="57"/>
      <c r="N461" s="57"/>
      <c r="T461" s="55"/>
    </row>
    <row r="462">
      <c r="A462" s="55"/>
      <c r="B462" s="55"/>
      <c r="D462" s="56"/>
      <c r="E462" s="57"/>
      <c r="H462" s="57"/>
      <c r="I462" s="57"/>
      <c r="J462" s="57"/>
      <c r="L462" s="57"/>
      <c r="N462" s="57"/>
      <c r="T462" s="55"/>
    </row>
    <row r="463">
      <c r="A463" s="55"/>
      <c r="B463" s="55"/>
      <c r="D463" s="56"/>
      <c r="E463" s="57"/>
      <c r="H463" s="57"/>
      <c r="I463" s="57"/>
      <c r="J463" s="57"/>
      <c r="L463" s="57"/>
      <c r="N463" s="57"/>
      <c r="T463" s="55"/>
    </row>
    <row r="464">
      <c r="A464" s="55"/>
      <c r="B464" s="55"/>
      <c r="D464" s="56"/>
      <c r="E464" s="57"/>
      <c r="H464" s="57"/>
      <c r="I464" s="57"/>
      <c r="J464" s="57"/>
      <c r="L464" s="57"/>
      <c r="N464" s="57"/>
      <c r="T464" s="55"/>
    </row>
    <row r="465">
      <c r="A465" s="55"/>
      <c r="B465" s="55"/>
      <c r="D465" s="56"/>
      <c r="E465" s="57"/>
      <c r="H465" s="57"/>
      <c r="I465" s="57"/>
      <c r="J465" s="57"/>
      <c r="L465" s="57"/>
      <c r="N465" s="57"/>
      <c r="T465" s="55"/>
    </row>
    <row r="466">
      <c r="A466" s="55"/>
      <c r="B466" s="55"/>
      <c r="D466" s="56"/>
      <c r="E466" s="57"/>
      <c r="H466" s="57"/>
      <c r="I466" s="57"/>
      <c r="J466" s="57"/>
      <c r="L466" s="57"/>
      <c r="N466" s="57"/>
      <c r="T466" s="55"/>
    </row>
    <row r="467">
      <c r="A467" s="55"/>
      <c r="B467" s="55"/>
      <c r="D467" s="56"/>
      <c r="E467" s="57"/>
      <c r="H467" s="57"/>
      <c r="I467" s="57"/>
      <c r="J467" s="57"/>
      <c r="L467" s="57"/>
      <c r="N467" s="57"/>
      <c r="T467" s="55"/>
    </row>
    <row r="468">
      <c r="A468" s="55"/>
      <c r="B468" s="55"/>
      <c r="D468" s="56"/>
      <c r="E468" s="57"/>
      <c r="H468" s="57"/>
      <c r="I468" s="57"/>
      <c r="J468" s="57"/>
      <c r="L468" s="57"/>
      <c r="N468" s="57"/>
      <c r="T468" s="55"/>
    </row>
    <row r="469">
      <c r="A469" s="55"/>
      <c r="B469" s="55"/>
      <c r="D469" s="56"/>
      <c r="E469" s="57"/>
      <c r="H469" s="57"/>
      <c r="I469" s="57"/>
      <c r="J469" s="57"/>
      <c r="L469" s="57"/>
      <c r="N469" s="57"/>
      <c r="T469" s="55"/>
    </row>
    <row r="470">
      <c r="A470" s="55"/>
      <c r="B470" s="55"/>
      <c r="D470" s="56"/>
      <c r="E470" s="57"/>
      <c r="H470" s="57"/>
      <c r="I470" s="57"/>
      <c r="J470" s="57"/>
      <c r="L470" s="57"/>
      <c r="N470" s="57"/>
      <c r="T470" s="55"/>
    </row>
    <row r="471">
      <c r="A471" s="55"/>
      <c r="B471" s="55"/>
      <c r="D471" s="56"/>
      <c r="E471" s="57"/>
      <c r="H471" s="57"/>
      <c r="I471" s="57"/>
      <c r="J471" s="57"/>
      <c r="L471" s="57"/>
      <c r="N471" s="57"/>
      <c r="T471" s="55"/>
    </row>
    <row r="472">
      <c r="A472" s="55"/>
      <c r="B472" s="55"/>
      <c r="D472" s="56"/>
      <c r="E472" s="57"/>
      <c r="H472" s="57"/>
      <c r="I472" s="57"/>
      <c r="J472" s="57"/>
      <c r="L472" s="57"/>
      <c r="N472" s="57"/>
      <c r="T472" s="55"/>
    </row>
    <row r="473">
      <c r="A473" s="55"/>
      <c r="B473" s="55"/>
      <c r="D473" s="56"/>
      <c r="E473" s="57"/>
      <c r="H473" s="57"/>
      <c r="I473" s="57"/>
      <c r="J473" s="57"/>
      <c r="L473" s="57"/>
      <c r="N473" s="57"/>
      <c r="T473" s="55"/>
    </row>
    <row r="474">
      <c r="A474" s="55"/>
      <c r="B474" s="55"/>
      <c r="D474" s="56"/>
      <c r="E474" s="57"/>
      <c r="H474" s="57"/>
      <c r="I474" s="57"/>
      <c r="J474" s="57"/>
      <c r="L474" s="57"/>
      <c r="N474" s="57"/>
      <c r="T474" s="55"/>
    </row>
    <row r="475">
      <c r="A475" s="55"/>
      <c r="B475" s="55"/>
      <c r="D475" s="56"/>
      <c r="E475" s="57"/>
      <c r="H475" s="57"/>
      <c r="I475" s="57"/>
      <c r="J475" s="57"/>
      <c r="L475" s="57"/>
      <c r="N475" s="57"/>
      <c r="T475" s="55"/>
    </row>
    <row r="476">
      <c r="A476" s="55"/>
      <c r="B476" s="55"/>
      <c r="D476" s="56"/>
      <c r="E476" s="57"/>
      <c r="H476" s="57"/>
      <c r="I476" s="57"/>
      <c r="J476" s="57"/>
      <c r="L476" s="57"/>
      <c r="N476" s="57"/>
      <c r="T476" s="55"/>
    </row>
    <row r="477">
      <c r="A477" s="55"/>
      <c r="B477" s="55"/>
      <c r="D477" s="56"/>
      <c r="E477" s="57"/>
      <c r="H477" s="57"/>
      <c r="I477" s="57"/>
      <c r="J477" s="57"/>
      <c r="L477" s="57"/>
      <c r="N477" s="57"/>
      <c r="T477" s="55"/>
    </row>
    <row r="478">
      <c r="A478" s="55"/>
      <c r="B478" s="55"/>
      <c r="D478" s="56"/>
      <c r="E478" s="57"/>
      <c r="H478" s="57"/>
      <c r="I478" s="57"/>
      <c r="J478" s="57"/>
      <c r="L478" s="57"/>
      <c r="N478" s="57"/>
      <c r="T478" s="55"/>
    </row>
    <row r="479">
      <c r="A479" s="55"/>
      <c r="B479" s="55"/>
      <c r="D479" s="56"/>
      <c r="E479" s="57"/>
      <c r="H479" s="57"/>
      <c r="I479" s="57"/>
      <c r="J479" s="57"/>
      <c r="L479" s="57"/>
      <c r="N479" s="57"/>
      <c r="T479" s="55"/>
    </row>
    <row r="480">
      <c r="A480" s="55"/>
      <c r="B480" s="55"/>
      <c r="D480" s="56"/>
      <c r="E480" s="57"/>
      <c r="H480" s="57"/>
      <c r="I480" s="57"/>
      <c r="J480" s="57"/>
      <c r="L480" s="57"/>
      <c r="N480" s="57"/>
      <c r="T480" s="55"/>
    </row>
    <row r="481">
      <c r="A481" s="55"/>
      <c r="B481" s="55"/>
      <c r="D481" s="56"/>
      <c r="E481" s="57"/>
      <c r="H481" s="57"/>
      <c r="I481" s="57"/>
      <c r="J481" s="57"/>
      <c r="L481" s="57"/>
      <c r="N481" s="57"/>
      <c r="T481" s="55"/>
    </row>
    <row r="482">
      <c r="A482" s="55"/>
      <c r="B482" s="55"/>
      <c r="D482" s="56"/>
      <c r="E482" s="57"/>
      <c r="H482" s="57"/>
      <c r="I482" s="57"/>
      <c r="J482" s="57"/>
      <c r="L482" s="57"/>
      <c r="N482" s="57"/>
      <c r="T482" s="55"/>
    </row>
    <row r="483">
      <c r="A483" s="55"/>
      <c r="B483" s="55"/>
      <c r="D483" s="56"/>
      <c r="E483" s="57"/>
      <c r="H483" s="57"/>
      <c r="I483" s="57"/>
      <c r="J483" s="57"/>
      <c r="L483" s="57"/>
      <c r="N483" s="57"/>
      <c r="T483" s="55"/>
    </row>
    <row r="484">
      <c r="A484" s="55"/>
      <c r="B484" s="55"/>
      <c r="D484" s="56"/>
      <c r="E484" s="57"/>
      <c r="H484" s="57"/>
      <c r="I484" s="57"/>
      <c r="J484" s="57"/>
      <c r="L484" s="57"/>
      <c r="N484" s="57"/>
      <c r="T484" s="55"/>
    </row>
    <row r="485">
      <c r="A485" s="55"/>
      <c r="B485" s="55"/>
      <c r="D485" s="56"/>
      <c r="E485" s="57"/>
      <c r="H485" s="57"/>
      <c r="I485" s="57"/>
      <c r="J485" s="57"/>
      <c r="L485" s="57"/>
      <c r="N485" s="57"/>
      <c r="T485" s="55"/>
    </row>
    <row r="486">
      <c r="A486" s="55"/>
      <c r="B486" s="55"/>
      <c r="D486" s="56"/>
      <c r="E486" s="57"/>
      <c r="H486" s="57"/>
      <c r="I486" s="57"/>
      <c r="J486" s="57"/>
      <c r="L486" s="57"/>
      <c r="N486" s="57"/>
      <c r="T486" s="55"/>
    </row>
    <row r="487">
      <c r="A487" s="55"/>
      <c r="B487" s="55"/>
      <c r="D487" s="56"/>
      <c r="E487" s="57"/>
      <c r="H487" s="57"/>
      <c r="I487" s="57"/>
      <c r="J487" s="57"/>
      <c r="L487" s="57"/>
      <c r="N487" s="57"/>
      <c r="T487" s="55"/>
    </row>
    <row r="488">
      <c r="A488" s="55"/>
      <c r="B488" s="55"/>
      <c r="D488" s="56"/>
      <c r="E488" s="57"/>
      <c r="H488" s="57"/>
      <c r="I488" s="57"/>
      <c r="J488" s="57"/>
      <c r="L488" s="57"/>
      <c r="N488" s="57"/>
      <c r="T488" s="55"/>
    </row>
    <row r="489">
      <c r="A489" s="55"/>
      <c r="B489" s="55"/>
      <c r="D489" s="56"/>
      <c r="E489" s="57"/>
      <c r="H489" s="57"/>
      <c r="I489" s="57"/>
      <c r="J489" s="57"/>
      <c r="L489" s="57"/>
      <c r="N489" s="57"/>
      <c r="T489" s="55"/>
    </row>
    <row r="490">
      <c r="A490" s="55"/>
      <c r="B490" s="55"/>
      <c r="D490" s="56"/>
      <c r="E490" s="57"/>
      <c r="H490" s="57"/>
      <c r="I490" s="57"/>
      <c r="J490" s="57"/>
      <c r="L490" s="57"/>
      <c r="N490" s="57"/>
      <c r="T490" s="55"/>
    </row>
    <row r="491">
      <c r="A491" s="55"/>
      <c r="B491" s="55"/>
      <c r="D491" s="56"/>
      <c r="E491" s="57"/>
      <c r="H491" s="57"/>
      <c r="I491" s="57"/>
      <c r="J491" s="57"/>
      <c r="L491" s="57"/>
      <c r="N491" s="57"/>
      <c r="T491" s="55"/>
    </row>
    <row r="492">
      <c r="A492" s="55"/>
      <c r="B492" s="55"/>
      <c r="D492" s="56"/>
      <c r="E492" s="57"/>
      <c r="H492" s="57"/>
      <c r="I492" s="57"/>
      <c r="J492" s="57"/>
      <c r="L492" s="57"/>
      <c r="N492" s="57"/>
      <c r="T492" s="55"/>
    </row>
    <row r="493">
      <c r="A493" s="55"/>
      <c r="B493" s="55"/>
      <c r="D493" s="56"/>
      <c r="E493" s="57"/>
      <c r="H493" s="57"/>
      <c r="I493" s="57"/>
      <c r="J493" s="57"/>
      <c r="L493" s="57"/>
      <c r="N493" s="57"/>
      <c r="T493" s="55"/>
    </row>
    <row r="494">
      <c r="A494" s="55"/>
      <c r="B494" s="55"/>
      <c r="D494" s="56"/>
      <c r="E494" s="57"/>
      <c r="H494" s="57"/>
      <c r="I494" s="57"/>
      <c r="J494" s="57"/>
      <c r="L494" s="57"/>
      <c r="N494" s="57"/>
      <c r="T494" s="55"/>
    </row>
    <row r="495">
      <c r="A495" s="55"/>
      <c r="B495" s="55"/>
      <c r="D495" s="56"/>
      <c r="E495" s="57"/>
      <c r="H495" s="57"/>
      <c r="I495" s="57"/>
      <c r="J495" s="57"/>
      <c r="L495" s="57"/>
      <c r="N495" s="57"/>
      <c r="T495" s="55"/>
    </row>
    <row r="496">
      <c r="A496" s="55"/>
      <c r="B496" s="55"/>
      <c r="D496" s="56"/>
      <c r="E496" s="57"/>
      <c r="H496" s="57"/>
      <c r="I496" s="57"/>
      <c r="J496" s="57"/>
      <c r="L496" s="57"/>
      <c r="N496" s="57"/>
      <c r="T496" s="55"/>
    </row>
    <row r="497">
      <c r="A497" s="55"/>
      <c r="B497" s="55"/>
      <c r="D497" s="56"/>
      <c r="E497" s="57"/>
      <c r="H497" s="57"/>
      <c r="I497" s="57"/>
      <c r="J497" s="57"/>
      <c r="L497" s="57"/>
      <c r="N497" s="57"/>
      <c r="T497" s="55"/>
    </row>
    <row r="498">
      <c r="A498" s="55"/>
      <c r="B498" s="55"/>
      <c r="D498" s="56"/>
      <c r="E498" s="57"/>
      <c r="H498" s="57"/>
      <c r="I498" s="57"/>
      <c r="J498" s="57"/>
      <c r="L498" s="57"/>
      <c r="N498" s="57"/>
      <c r="T498" s="55"/>
    </row>
    <row r="499">
      <c r="A499" s="55"/>
      <c r="B499" s="55"/>
      <c r="D499" s="56"/>
      <c r="E499" s="57"/>
      <c r="H499" s="57"/>
      <c r="I499" s="57"/>
      <c r="J499" s="57"/>
      <c r="L499" s="57"/>
      <c r="N499" s="57"/>
      <c r="T499" s="55"/>
    </row>
    <row r="500">
      <c r="A500" s="55"/>
      <c r="B500" s="55"/>
      <c r="D500" s="56"/>
      <c r="E500" s="57"/>
      <c r="H500" s="57"/>
      <c r="I500" s="57"/>
      <c r="J500" s="57"/>
      <c r="L500" s="57"/>
      <c r="N500" s="57"/>
      <c r="T500" s="55"/>
    </row>
    <row r="501">
      <c r="A501" s="55"/>
      <c r="B501" s="55"/>
      <c r="D501" s="56"/>
      <c r="E501" s="57"/>
      <c r="H501" s="57"/>
      <c r="I501" s="57"/>
      <c r="J501" s="57"/>
      <c r="L501" s="57"/>
      <c r="N501" s="57"/>
      <c r="T501" s="55"/>
    </row>
    <row r="502">
      <c r="A502" s="55"/>
      <c r="B502" s="55"/>
      <c r="D502" s="56"/>
      <c r="E502" s="57"/>
      <c r="H502" s="57"/>
      <c r="I502" s="57"/>
      <c r="J502" s="57"/>
      <c r="L502" s="57"/>
      <c r="N502" s="57"/>
      <c r="T502" s="55"/>
    </row>
    <row r="503">
      <c r="A503" s="55"/>
      <c r="B503" s="55"/>
      <c r="D503" s="56"/>
      <c r="E503" s="57"/>
      <c r="H503" s="57"/>
      <c r="I503" s="57"/>
      <c r="J503" s="57"/>
      <c r="L503" s="57"/>
      <c r="N503" s="57"/>
      <c r="T503" s="55"/>
    </row>
    <row r="504">
      <c r="A504" s="55"/>
      <c r="B504" s="55"/>
      <c r="D504" s="56"/>
      <c r="E504" s="57"/>
      <c r="H504" s="57"/>
      <c r="I504" s="57"/>
      <c r="J504" s="57"/>
      <c r="L504" s="57"/>
      <c r="N504" s="57"/>
      <c r="T504" s="55"/>
    </row>
    <row r="505">
      <c r="A505" s="55"/>
      <c r="B505" s="55"/>
      <c r="D505" s="56"/>
      <c r="E505" s="57"/>
      <c r="H505" s="57"/>
      <c r="I505" s="57"/>
      <c r="J505" s="57"/>
      <c r="L505" s="57"/>
      <c r="N505" s="57"/>
      <c r="T505" s="55"/>
    </row>
    <row r="506">
      <c r="A506" s="55"/>
      <c r="B506" s="55"/>
      <c r="D506" s="56"/>
      <c r="E506" s="57"/>
      <c r="H506" s="57"/>
      <c r="I506" s="57"/>
      <c r="J506" s="57"/>
      <c r="L506" s="57"/>
      <c r="N506" s="57"/>
      <c r="T506" s="55"/>
    </row>
    <row r="507">
      <c r="A507" s="55"/>
      <c r="B507" s="55"/>
      <c r="D507" s="56"/>
      <c r="E507" s="57"/>
      <c r="H507" s="57"/>
      <c r="I507" s="57"/>
      <c r="J507" s="57"/>
      <c r="L507" s="57"/>
      <c r="N507" s="57"/>
      <c r="T507" s="55"/>
    </row>
    <row r="508">
      <c r="A508" s="55"/>
      <c r="B508" s="55"/>
      <c r="D508" s="56"/>
      <c r="E508" s="57"/>
      <c r="H508" s="57"/>
      <c r="I508" s="57"/>
      <c r="J508" s="57"/>
      <c r="L508" s="57"/>
      <c r="N508" s="57"/>
      <c r="T508" s="55"/>
    </row>
    <row r="509">
      <c r="A509" s="55"/>
      <c r="B509" s="55"/>
      <c r="D509" s="56"/>
      <c r="E509" s="57"/>
      <c r="H509" s="57"/>
      <c r="I509" s="57"/>
      <c r="J509" s="57"/>
      <c r="L509" s="57"/>
      <c r="N509" s="57"/>
      <c r="T509" s="55"/>
    </row>
    <row r="510">
      <c r="A510" s="55"/>
      <c r="B510" s="55"/>
      <c r="D510" s="56"/>
      <c r="E510" s="57"/>
      <c r="H510" s="57"/>
      <c r="I510" s="57"/>
      <c r="J510" s="57"/>
      <c r="L510" s="57"/>
      <c r="N510" s="57"/>
      <c r="T510" s="55"/>
    </row>
    <row r="511">
      <c r="A511" s="55"/>
      <c r="B511" s="55"/>
      <c r="D511" s="56"/>
      <c r="E511" s="57"/>
      <c r="H511" s="57"/>
      <c r="I511" s="57"/>
      <c r="J511" s="57"/>
      <c r="L511" s="57"/>
      <c r="N511" s="57"/>
      <c r="T511" s="55"/>
    </row>
    <row r="512">
      <c r="A512" s="55"/>
      <c r="B512" s="55"/>
      <c r="D512" s="56"/>
      <c r="E512" s="57"/>
      <c r="H512" s="57"/>
      <c r="I512" s="57"/>
      <c r="J512" s="57"/>
      <c r="L512" s="57"/>
      <c r="N512" s="57"/>
      <c r="T512" s="55"/>
    </row>
    <row r="513">
      <c r="A513" s="55"/>
      <c r="B513" s="55"/>
      <c r="D513" s="56"/>
      <c r="E513" s="57"/>
      <c r="H513" s="57"/>
      <c r="I513" s="57"/>
      <c r="J513" s="57"/>
      <c r="L513" s="57"/>
      <c r="N513" s="57"/>
      <c r="T513" s="55"/>
    </row>
    <row r="514">
      <c r="A514" s="55"/>
      <c r="B514" s="55"/>
      <c r="D514" s="56"/>
      <c r="E514" s="57"/>
      <c r="H514" s="57"/>
      <c r="I514" s="57"/>
      <c r="J514" s="57"/>
      <c r="L514" s="57"/>
      <c r="N514" s="57"/>
      <c r="T514" s="55"/>
    </row>
    <row r="515">
      <c r="A515" s="55"/>
      <c r="B515" s="55"/>
      <c r="D515" s="56"/>
      <c r="E515" s="57"/>
      <c r="H515" s="57"/>
      <c r="I515" s="57"/>
      <c r="J515" s="57"/>
      <c r="L515" s="57"/>
      <c r="N515" s="57"/>
      <c r="T515" s="55"/>
    </row>
    <row r="516">
      <c r="A516" s="55"/>
      <c r="B516" s="55"/>
      <c r="D516" s="56"/>
      <c r="E516" s="57"/>
      <c r="H516" s="57"/>
      <c r="I516" s="57"/>
      <c r="J516" s="57"/>
      <c r="L516" s="57"/>
      <c r="N516" s="57"/>
      <c r="T516" s="55"/>
    </row>
    <row r="517">
      <c r="A517" s="55"/>
      <c r="B517" s="55"/>
      <c r="D517" s="56"/>
      <c r="E517" s="57"/>
      <c r="H517" s="57"/>
      <c r="I517" s="57"/>
      <c r="J517" s="57"/>
      <c r="L517" s="57"/>
      <c r="N517" s="57"/>
      <c r="T517" s="55"/>
    </row>
    <row r="518">
      <c r="A518" s="55"/>
      <c r="B518" s="55"/>
      <c r="D518" s="56"/>
      <c r="E518" s="57"/>
      <c r="H518" s="57"/>
      <c r="I518" s="57"/>
      <c r="J518" s="57"/>
      <c r="L518" s="57"/>
      <c r="N518" s="57"/>
      <c r="T518" s="55"/>
    </row>
    <row r="519">
      <c r="A519" s="55"/>
      <c r="B519" s="55"/>
      <c r="D519" s="56"/>
      <c r="E519" s="57"/>
      <c r="H519" s="57"/>
      <c r="I519" s="57"/>
      <c r="J519" s="57"/>
      <c r="L519" s="57"/>
      <c r="N519" s="57"/>
      <c r="T519" s="55"/>
    </row>
    <row r="520">
      <c r="A520" s="55"/>
      <c r="B520" s="55"/>
      <c r="D520" s="56"/>
      <c r="E520" s="57"/>
      <c r="H520" s="57"/>
      <c r="I520" s="57"/>
      <c r="J520" s="57"/>
      <c r="L520" s="57"/>
      <c r="N520" s="57"/>
      <c r="T520" s="55"/>
    </row>
    <row r="521">
      <c r="A521" s="55"/>
      <c r="B521" s="55"/>
      <c r="D521" s="56"/>
      <c r="E521" s="57"/>
      <c r="H521" s="57"/>
      <c r="I521" s="57"/>
      <c r="J521" s="57"/>
      <c r="L521" s="57"/>
      <c r="N521" s="57"/>
      <c r="T521" s="55"/>
    </row>
    <row r="522">
      <c r="A522" s="55"/>
      <c r="B522" s="55"/>
      <c r="D522" s="56"/>
      <c r="E522" s="57"/>
      <c r="H522" s="57"/>
      <c r="I522" s="57"/>
      <c r="J522" s="57"/>
      <c r="L522" s="57"/>
      <c r="N522" s="57"/>
      <c r="T522" s="55"/>
    </row>
    <row r="523">
      <c r="A523" s="55"/>
      <c r="B523" s="55"/>
      <c r="D523" s="56"/>
      <c r="E523" s="57"/>
      <c r="H523" s="57"/>
      <c r="I523" s="57"/>
      <c r="J523" s="57"/>
      <c r="L523" s="57"/>
      <c r="N523" s="57"/>
      <c r="T523" s="55"/>
    </row>
    <row r="524">
      <c r="A524" s="55"/>
      <c r="B524" s="55"/>
      <c r="D524" s="56"/>
      <c r="E524" s="57"/>
      <c r="H524" s="57"/>
      <c r="I524" s="57"/>
      <c r="J524" s="57"/>
      <c r="L524" s="57"/>
      <c r="N524" s="57"/>
      <c r="T524" s="55"/>
    </row>
    <row r="525">
      <c r="A525" s="55"/>
      <c r="B525" s="55"/>
      <c r="D525" s="56"/>
      <c r="E525" s="57"/>
      <c r="H525" s="57"/>
      <c r="I525" s="57"/>
      <c r="J525" s="57"/>
      <c r="L525" s="57"/>
      <c r="N525" s="57"/>
      <c r="T525" s="55"/>
    </row>
    <row r="526">
      <c r="A526" s="55"/>
      <c r="B526" s="55"/>
      <c r="D526" s="56"/>
      <c r="E526" s="57"/>
      <c r="H526" s="57"/>
      <c r="I526" s="57"/>
      <c r="J526" s="57"/>
      <c r="L526" s="57"/>
      <c r="N526" s="57"/>
      <c r="T526" s="55"/>
    </row>
    <row r="527">
      <c r="A527" s="55"/>
      <c r="B527" s="55"/>
      <c r="D527" s="56"/>
      <c r="E527" s="57"/>
      <c r="H527" s="57"/>
      <c r="I527" s="57"/>
      <c r="J527" s="57"/>
      <c r="L527" s="57"/>
      <c r="N527" s="57"/>
      <c r="T527" s="55"/>
    </row>
    <row r="528">
      <c r="A528" s="55"/>
      <c r="B528" s="55"/>
      <c r="D528" s="56"/>
      <c r="E528" s="57"/>
      <c r="H528" s="57"/>
      <c r="I528" s="57"/>
      <c r="J528" s="57"/>
      <c r="L528" s="57"/>
      <c r="N528" s="57"/>
      <c r="T528" s="55"/>
    </row>
    <row r="529">
      <c r="A529" s="55"/>
      <c r="B529" s="55"/>
      <c r="D529" s="56"/>
      <c r="E529" s="57"/>
      <c r="H529" s="57"/>
      <c r="I529" s="57"/>
      <c r="J529" s="57"/>
      <c r="L529" s="57"/>
      <c r="N529" s="57"/>
      <c r="T529" s="55"/>
    </row>
    <row r="530">
      <c r="A530" s="55"/>
      <c r="B530" s="55"/>
      <c r="D530" s="56"/>
      <c r="E530" s="57"/>
      <c r="H530" s="57"/>
      <c r="I530" s="57"/>
      <c r="J530" s="57"/>
      <c r="L530" s="57"/>
      <c r="N530" s="57"/>
      <c r="T530" s="55"/>
    </row>
    <row r="531">
      <c r="A531" s="55"/>
      <c r="B531" s="55"/>
      <c r="D531" s="56"/>
      <c r="E531" s="57"/>
      <c r="H531" s="57"/>
      <c r="I531" s="57"/>
      <c r="J531" s="57"/>
      <c r="L531" s="57"/>
      <c r="N531" s="57"/>
      <c r="T531" s="55"/>
    </row>
    <row r="532">
      <c r="A532" s="55"/>
      <c r="B532" s="55"/>
      <c r="D532" s="56"/>
      <c r="E532" s="57"/>
      <c r="H532" s="57"/>
      <c r="I532" s="57"/>
      <c r="J532" s="57"/>
      <c r="L532" s="57"/>
      <c r="N532" s="57"/>
      <c r="T532" s="55"/>
    </row>
    <row r="533">
      <c r="A533" s="55"/>
      <c r="B533" s="55"/>
      <c r="D533" s="56"/>
      <c r="E533" s="57"/>
      <c r="H533" s="57"/>
      <c r="I533" s="57"/>
      <c r="J533" s="57"/>
      <c r="L533" s="57"/>
      <c r="N533" s="57"/>
      <c r="T533" s="55"/>
    </row>
    <row r="534">
      <c r="A534" s="55"/>
      <c r="B534" s="55"/>
      <c r="D534" s="56"/>
      <c r="E534" s="57"/>
      <c r="H534" s="57"/>
      <c r="I534" s="57"/>
      <c r="J534" s="57"/>
      <c r="L534" s="57"/>
      <c r="N534" s="57"/>
      <c r="T534" s="55"/>
    </row>
    <row r="535">
      <c r="A535" s="55"/>
      <c r="B535" s="55"/>
      <c r="D535" s="56"/>
      <c r="E535" s="57"/>
      <c r="H535" s="57"/>
      <c r="I535" s="57"/>
      <c r="J535" s="57"/>
      <c r="L535" s="57"/>
      <c r="N535" s="57"/>
      <c r="T535" s="55"/>
    </row>
    <row r="536">
      <c r="A536" s="55"/>
      <c r="B536" s="55"/>
      <c r="D536" s="56"/>
      <c r="E536" s="57"/>
      <c r="H536" s="57"/>
      <c r="I536" s="57"/>
      <c r="J536" s="57"/>
      <c r="L536" s="57"/>
      <c r="N536" s="57"/>
      <c r="T536" s="55"/>
    </row>
    <row r="537">
      <c r="A537" s="55"/>
      <c r="B537" s="55"/>
      <c r="D537" s="56"/>
      <c r="E537" s="57"/>
      <c r="H537" s="57"/>
      <c r="I537" s="57"/>
      <c r="J537" s="57"/>
      <c r="L537" s="57"/>
      <c r="N537" s="57"/>
      <c r="T537" s="55"/>
    </row>
    <row r="538">
      <c r="A538" s="55"/>
      <c r="B538" s="55"/>
      <c r="D538" s="56"/>
      <c r="E538" s="57"/>
      <c r="H538" s="57"/>
      <c r="I538" s="57"/>
      <c r="J538" s="57"/>
      <c r="L538" s="57"/>
      <c r="N538" s="57"/>
      <c r="T538" s="55"/>
    </row>
    <row r="539">
      <c r="A539" s="55"/>
      <c r="B539" s="55"/>
      <c r="D539" s="56"/>
      <c r="E539" s="57"/>
      <c r="H539" s="57"/>
      <c r="I539" s="57"/>
      <c r="J539" s="57"/>
      <c r="L539" s="57"/>
      <c r="N539" s="57"/>
      <c r="T539" s="55"/>
    </row>
    <row r="540">
      <c r="A540" s="55"/>
      <c r="B540" s="55"/>
      <c r="D540" s="56"/>
      <c r="E540" s="57"/>
      <c r="H540" s="57"/>
      <c r="I540" s="57"/>
      <c r="J540" s="57"/>
      <c r="L540" s="57"/>
      <c r="N540" s="57"/>
      <c r="T540" s="55"/>
    </row>
    <row r="541">
      <c r="A541" s="55"/>
      <c r="B541" s="55"/>
      <c r="D541" s="56"/>
      <c r="E541" s="57"/>
      <c r="H541" s="57"/>
      <c r="I541" s="57"/>
      <c r="J541" s="57"/>
      <c r="L541" s="57"/>
      <c r="N541" s="57"/>
      <c r="T541" s="55"/>
    </row>
    <row r="542">
      <c r="A542" s="55"/>
      <c r="B542" s="55"/>
      <c r="D542" s="56"/>
      <c r="E542" s="57"/>
      <c r="H542" s="57"/>
      <c r="I542" s="57"/>
      <c r="J542" s="57"/>
      <c r="L542" s="57"/>
      <c r="N542" s="57"/>
      <c r="T542" s="55"/>
    </row>
    <row r="543">
      <c r="A543" s="55"/>
      <c r="B543" s="55"/>
      <c r="D543" s="56"/>
      <c r="E543" s="57"/>
      <c r="H543" s="57"/>
      <c r="I543" s="57"/>
      <c r="J543" s="57"/>
      <c r="L543" s="57"/>
      <c r="N543" s="57"/>
      <c r="T543" s="55"/>
    </row>
    <row r="544">
      <c r="A544" s="55"/>
      <c r="B544" s="55"/>
      <c r="D544" s="56"/>
      <c r="E544" s="57"/>
      <c r="H544" s="57"/>
      <c r="I544" s="57"/>
      <c r="J544" s="57"/>
      <c r="L544" s="57"/>
      <c r="N544" s="57"/>
      <c r="T544" s="55"/>
    </row>
    <row r="545">
      <c r="A545" s="55"/>
      <c r="B545" s="55"/>
      <c r="D545" s="56"/>
      <c r="E545" s="57"/>
      <c r="H545" s="57"/>
      <c r="I545" s="57"/>
      <c r="J545" s="57"/>
      <c r="L545" s="57"/>
      <c r="N545" s="57"/>
      <c r="T545" s="55"/>
    </row>
    <row r="546">
      <c r="A546" s="55"/>
      <c r="B546" s="55"/>
      <c r="D546" s="56"/>
      <c r="E546" s="57"/>
      <c r="H546" s="57"/>
      <c r="I546" s="57"/>
      <c r="J546" s="57"/>
      <c r="L546" s="57"/>
      <c r="N546" s="57"/>
      <c r="T546" s="55"/>
    </row>
    <row r="547">
      <c r="A547" s="55"/>
      <c r="B547" s="55"/>
      <c r="D547" s="56"/>
      <c r="E547" s="57"/>
      <c r="H547" s="57"/>
      <c r="I547" s="57"/>
      <c r="J547" s="57"/>
      <c r="L547" s="57"/>
      <c r="N547" s="57"/>
      <c r="T547" s="55"/>
    </row>
    <row r="548">
      <c r="A548" s="55"/>
      <c r="B548" s="55"/>
      <c r="D548" s="56"/>
      <c r="E548" s="57"/>
      <c r="H548" s="57"/>
      <c r="I548" s="57"/>
      <c r="J548" s="57"/>
      <c r="L548" s="57"/>
      <c r="N548" s="57"/>
      <c r="T548" s="55"/>
    </row>
    <row r="549">
      <c r="A549" s="55"/>
      <c r="B549" s="55"/>
      <c r="D549" s="56"/>
      <c r="E549" s="57"/>
      <c r="H549" s="57"/>
      <c r="I549" s="57"/>
      <c r="J549" s="57"/>
      <c r="L549" s="57"/>
      <c r="N549" s="57"/>
      <c r="T549" s="55"/>
    </row>
    <row r="550">
      <c r="A550" s="55"/>
      <c r="B550" s="55"/>
      <c r="D550" s="56"/>
      <c r="E550" s="57"/>
      <c r="H550" s="57"/>
      <c r="I550" s="57"/>
      <c r="J550" s="57"/>
      <c r="L550" s="57"/>
      <c r="N550" s="57"/>
      <c r="T550" s="55"/>
    </row>
    <row r="551">
      <c r="A551" s="55"/>
      <c r="B551" s="55"/>
      <c r="D551" s="56"/>
      <c r="E551" s="57"/>
      <c r="H551" s="57"/>
      <c r="I551" s="57"/>
      <c r="J551" s="57"/>
      <c r="L551" s="57"/>
      <c r="N551" s="57"/>
      <c r="T551" s="55"/>
    </row>
    <row r="552">
      <c r="A552" s="55"/>
      <c r="B552" s="55"/>
      <c r="D552" s="56"/>
      <c r="E552" s="57"/>
      <c r="H552" s="57"/>
      <c r="I552" s="57"/>
      <c r="J552" s="57"/>
      <c r="L552" s="57"/>
      <c r="N552" s="57"/>
      <c r="T552" s="55"/>
    </row>
    <row r="553">
      <c r="A553" s="55"/>
      <c r="B553" s="55"/>
      <c r="D553" s="56"/>
      <c r="E553" s="57"/>
      <c r="H553" s="57"/>
      <c r="I553" s="57"/>
      <c r="J553" s="57"/>
      <c r="L553" s="57"/>
      <c r="N553" s="57"/>
      <c r="T553" s="55"/>
    </row>
    <row r="554">
      <c r="A554" s="55"/>
      <c r="B554" s="55"/>
      <c r="D554" s="56"/>
      <c r="E554" s="57"/>
      <c r="H554" s="57"/>
      <c r="I554" s="57"/>
      <c r="J554" s="57"/>
      <c r="L554" s="57"/>
      <c r="N554" s="57"/>
      <c r="T554" s="55"/>
    </row>
    <row r="555">
      <c r="A555" s="55"/>
      <c r="B555" s="55"/>
      <c r="D555" s="56"/>
      <c r="E555" s="57"/>
      <c r="H555" s="57"/>
      <c r="I555" s="57"/>
      <c r="J555" s="57"/>
      <c r="L555" s="57"/>
      <c r="N555" s="57"/>
      <c r="T555" s="55"/>
    </row>
    <row r="556">
      <c r="A556" s="55"/>
      <c r="B556" s="55"/>
      <c r="D556" s="56"/>
      <c r="E556" s="57"/>
      <c r="H556" s="57"/>
      <c r="I556" s="57"/>
      <c r="J556" s="57"/>
      <c r="L556" s="57"/>
      <c r="N556" s="57"/>
      <c r="T556" s="55"/>
    </row>
    <row r="557">
      <c r="A557" s="55"/>
      <c r="B557" s="55"/>
      <c r="D557" s="56"/>
      <c r="E557" s="57"/>
      <c r="H557" s="57"/>
      <c r="I557" s="57"/>
      <c r="J557" s="57"/>
      <c r="L557" s="57"/>
      <c r="N557" s="57"/>
      <c r="T557" s="55"/>
    </row>
    <row r="558">
      <c r="A558" s="55"/>
      <c r="B558" s="55"/>
      <c r="D558" s="56"/>
      <c r="E558" s="57"/>
      <c r="H558" s="57"/>
      <c r="I558" s="57"/>
      <c r="J558" s="57"/>
      <c r="L558" s="57"/>
      <c r="N558" s="57"/>
      <c r="T558" s="55"/>
    </row>
    <row r="559">
      <c r="A559" s="55"/>
      <c r="B559" s="55"/>
      <c r="D559" s="56"/>
      <c r="E559" s="57"/>
      <c r="H559" s="57"/>
      <c r="I559" s="57"/>
      <c r="J559" s="57"/>
      <c r="L559" s="57"/>
      <c r="N559" s="57"/>
      <c r="T559" s="55"/>
    </row>
    <row r="560">
      <c r="A560" s="55"/>
      <c r="B560" s="55"/>
      <c r="D560" s="56"/>
      <c r="E560" s="57"/>
      <c r="H560" s="57"/>
      <c r="I560" s="57"/>
      <c r="J560" s="57"/>
      <c r="L560" s="57"/>
      <c r="N560" s="57"/>
      <c r="T560" s="55"/>
    </row>
    <row r="561">
      <c r="A561" s="55"/>
      <c r="B561" s="55"/>
      <c r="D561" s="56"/>
      <c r="E561" s="57"/>
      <c r="H561" s="57"/>
      <c r="I561" s="57"/>
      <c r="J561" s="57"/>
      <c r="L561" s="57"/>
      <c r="N561" s="57"/>
      <c r="T561" s="55"/>
    </row>
    <row r="562">
      <c r="A562" s="55"/>
      <c r="B562" s="55"/>
      <c r="D562" s="56"/>
      <c r="E562" s="57"/>
      <c r="H562" s="57"/>
      <c r="I562" s="57"/>
      <c r="J562" s="57"/>
      <c r="L562" s="57"/>
      <c r="N562" s="57"/>
      <c r="T562" s="55"/>
    </row>
    <row r="563">
      <c r="A563" s="55"/>
      <c r="B563" s="55"/>
      <c r="D563" s="56"/>
      <c r="E563" s="57"/>
      <c r="H563" s="57"/>
      <c r="I563" s="57"/>
      <c r="J563" s="57"/>
      <c r="L563" s="57"/>
      <c r="N563" s="57"/>
      <c r="T563" s="55"/>
    </row>
    <row r="564">
      <c r="A564" s="55"/>
      <c r="B564" s="55"/>
      <c r="D564" s="56"/>
      <c r="E564" s="57"/>
      <c r="H564" s="57"/>
      <c r="I564" s="57"/>
      <c r="J564" s="57"/>
      <c r="L564" s="57"/>
      <c r="N564" s="57"/>
      <c r="T564" s="55"/>
    </row>
    <row r="565">
      <c r="A565" s="55"/>
      <c r="B565" s="55"/>
      <c r="D565" s="56"/>
      <c r="E565" s="57"/>
      <c r="H565" s="57"/>
      <c r="I565" s="57"/>
      <c r="J565" s="57"/>
      <c r="L565" s="57"/>
      <c r="N565" s="57"/>
      <c r="T565" s="55"/>
    </row>
    <row r="566">
      <c r="A566" s="55"/>
      <c r="B566" s="55"/>
      <c r="D566" s="56"/>
      <c r="E566" s="57"/>
      <c r="H566" s="57"/>
      <c r="I566" s="57"/>
      <c r="J566" s="57"/>
      <c r="L566" s="57"/>
      <c r="N566" s="57"/>
      <c r="T566" s="55"/>
    </row>
    <row r="567">
      <c r="A567" s="55"/>
      <c r="B567" s="55"/>
      <c r="D567" s="56"/>
      <c r="E567" s="57"/>
      <c r="H567" s="57"/>
      <c r="I567" s="57"/>
      <c r="J567" s="57"/>
      <c r="L567" s="57"/>
      <c r="N567" s="57"/>
      <c r="T567" s="55"/>
    </row>
    <row r="568">
      <c r="A568" s="55"/>
      <c r="B568" s="55"/>
      <c r="D568" s="56"/>
      <c r="E568" s="57"/>
      <c r="H568" s="57"/>
      <c r="I568" s="57"/>
      <c r="J568" s="57"/>
      <c r="L568" s="57"/>
      <c r="N568" s="57"/>
      <c r="T568" s="55"/>
    </row>
    <row r="569">
      <c r="A569" s="55"/>
      <c r="B569" s="55"/>
      <c r="D569" s="56"/>
      <c r="E569" s="57"/>
      <c r="H569" s="57"/>
      <c r="I569" s="57"/>
      <c r="J569" s="57"/>
      <c r="L569" s="57"/>
      <c r="N569" s="57"/>
      <c r="T569" s="55"/>
    </row>
    <row r="570">
      <c r="A570" s="55"/>
      <c r="B570" s="55"/>
      <c r="D570" s="56"/>
      <c r="E570" s="57"/>
      <c r="H570" s="57"/>
      <c r="I570" s="57"/>
      <c r="J570" s="57"/>
      <c r="L570" s="57"/>
      <c r="N570" s="57"/>
      <c r="T570" s="55"/>
    </row>
    <row r="571">
      <c r="A571" s="55"/>
      <c r="B571" s="55"/>
      <c r="D571" s="56"/>
      <c r="E571" s="57"/>
      <c r="H571" s="57"/>
      <c r="I571" s="57"/>
      <c r="J571" s="57"/>
      <c r="L571" s="57"/>
      <c r="N571" s="57"/>
      <c r="T571" s="55"/>
    </row>
    <row r="572">
      <c r="A572" s="55"/>
      <c r="B572" s="55"/>
      <c r="D572" s="56"/>
      <c r="E572" s="57"/>
      <c r="H572" s="57"/>
      <c r="I572" s="57"/>
      <c r="J572" s="57"/>
      <c r="L572" s="57"/>
      <c r="N572" s="57"/>
      <c r="T572" s="55"/>
    </row>
    <row r="573">
      <c r="A573" s="55"/>
      <c r="B573" s="55"/>
      <c r="D573" s="56"/>
      <c r="E573" s="57"/>
      <c r="H573" s="57"/>
      <c r="I573" s="57"/>
      <c r="J573" s="57"/>
      <c r="L573" s="57"/>
      <c r="N573" s="57"/>
      <c r="T573" s="55"/>
    </row>
    <row r="574">
      <c r="A574" s="55"/>
      <c r="B574" s="55"/>
      <c r="D574" s="56"/>
      <c r="E574" s="57"/>
      <c r="H574" s="57"/>
      <c r="I574" s="57"/>
      <c r="J574" s="57"/>
      <c r="L574" s="57"/>
      <c r="N574" s="57"/>
      <c r="T574" s="55"/>
    </row>
    <row r="575">
      <c r="A575" s="55"/>
      <c r="B575" s="55"/>
      <c r="D575" s="56"/>
      <c r="E575" s="57"/>
      <c r="H575" s="57"/>
      <c r="I575" s="57"/>
      <c r="J575" s="57"/>
      <c r="L575" s="57"/>
      <c r="N575" s="57"/>
      <c r="T575" s="55"/>
    </row>
    <row r="576">
      <c r="A576" s="55"/>
      <c r="B576" s="55"/>
      <c r="D576" s="56"/>
      <c r="E576" s="57"/>
      <c r="H576" s="57"/>
      <c r="I576" s="57"/>
      <c r="J576" s="57"/>
      <c r="L576" s="57"/>
      <c r="N576" s="57"/>
      <c r="T576" s="55"/>
    </row>
    <row r="577">
      <c r="A577" s="55"/>
      <c r="B577" s="55"/>
      <c r="D577" s="56"/>
      <c r="E577" s="57"/>
      <c r="H577" s="57"/>
      <c r="I577" s="57"/>
      <c r="J577" s="57"/>
      <c r="L577" s="57"/>
      <c r="N577" s="57"/>
      <c r="T577" s="55"/>
    </row>
    <row r="578">
      <c r="A578" s="55"/>
      <c r="B578" s="55"/>
      <c r="D578" s="56"/>
      <c r="E578" s="57"/>
      <c r="H578" s="57"/>
      <c r="I578" s="57"/>
      <c r="J578" s="57"/>
      <c r="L578" s="57"/>
      <c r="N578" s="57"/>
      <c r="T578" s="55"/>
    </row>
    <row r="579">
      <c r="A579" s="55"/>
      <c r="B579" s="55"/>
      <c r="D579" s="56"/>
      <c r="E579" s="57"/>
      <c r="H579" s="57"/>
      <c r="I579" s="57"/>
      <c r="J579" s="57"/>
      <c r="L579" s="57"/>
      <c r="N579" s="57"/>
      <c r="T579" s="55"/>
    </row>
    <row r="580">
      <c r="A580" s="55"/>
      <c r="B580" s="55"/>
      <c r="D580" s="56"/>
      <c r="E580" s="57"/>
      <c r="H580" s="57"/>
      <c r="I580" s="57"/>
      <c r="J580" s="57"/>
      <c r="L580" s="57"/>
      <c r="N580" s="57"/>
      <c r="T580" s="55"/>
    </row>
    <row r="581">
      <c r="A581" s="55"/>
      <c r="B581" s="55"/>
      <c r="D581" s="56"/>
      <c r="E581" s="57"/>
      <c r="H581" s="57"/>
      <c r="I581" s="57"/>
      <c r="J581" s="57"/>
      <c r="L581" s="57"/>
      <c r="N581" s="57"/>
      <c r="T581" s="55"/>
    </row>
    <row r="582">
      <c r="A582" s="55"/>
      <c r="B582" s="55"/>
      <c r="D582" s="56"/>
      <c r="E582" s="57"/>
      <c r="H582" s="57"/>
      <c r="I582" s="57"/>
      <c r="J582" s="57"/>
      <c r="L582" s="57"/>
      <c r="N582" s="57"/>
      <c r="T582" s="55"/>
    </row>
    <row r="583">
      <c r="A583" s="55"/>
      <c r="B583" s="55"/>
      <c r="D583" s="56"/>
      <c r="E583" s="57"/>
      <c r="H583" s="57"/>
      <c r="I583" s="57"/>
      <c r="J583" s="57"/>
      <c r="L583" s="57"/>
      <c r="N583" s="57"/>
      <c r="T583" s="55"/>
    </row>
    <row r="584">
      <c r="A584" s="55"/>
      <c r="B584" s="55"/>
      <c r="D584" s="56"/>
      <c r="E584" s="57"/>
      <c r="H584" s="57"/>
      <c r="I584" s="57"/>
      <c r="J584" s="57"/>
      <c r="L584" s="57"/>
      <c r="N584" s="57"/>
      <c r="T584" s="55"/>
    </row>
    <row r="585">
      <c r="A585" s="55"/>
      <c r="B585" s="55"/>
      <c r="D585" s="56"/>
      <c r="E585" s="57"/>
      <c r="H585" s="57"/>
      <c r="I585" s="57"/>
      <c r="J585" s="57"/>
      <c r="L585" s="57"/>
      <c r="N585" s="57"/>
      <c r="T585" s="55"/>
    </row>
    <row r="586">
      <c r="A586" s="55"/>
      <c r="B586" s="55"/>
      <c r="D586" s="56"/>
      <c r="E586" s="57"/>
      <c r="H586" s="57"/>
      <c r="I586" s="57"/>
      <c r="J586" s="57"/>
      <c r="L586" s="57"/>
      <c r="N586" s="57"/>
      <c r="T586" s="55"/>
    </row>
    <row r="587">
      <c r="A587" s="55"/>
      <c r="B587" s="55"/>
      <c r="D587" s="56"/>
      <c r="E587" s="57"/>
      <c r="H587" s="57"/>
      <c r="I587" s="57"/>
      <c r="J587" s="57"/>
      <c r="L587" s="57"/>
      <c r="N587" s="57"/>
      <c r="T587" s="55"/>
    </row>
    <row r="588">
      <c r="A588" s="55"/>
      <c r="B588" s="55"/>
      <c r="D588" s="56"/>
      <c r="E588" s="57"/>
      <c r="H588" s="57"/>
      <c r="I588" s="57"/>
      <c r="J588" s="57"/>
      <c r="L588" s="57"/>
      <c r="N588" s="57"/>
      <c r="T588" s="55"/>
    </row>
    <row r="589">
      <c r="A589" s="55"/>
      <c r="B589" s="55"/>
      <c r="D589" s="56"/>
      <c r="E589" s="57"/>
      <c r="H589" s="57"/>
      <c r="I589" s="57"/>
      <c r="J589" s="57"/>
      <c r="L589" s="57"/>
      <c r="N589" s="57"/>
      <c r="T589" s="55"/>
    </row>
    <row r="590">
      <c r="A590" s="55"/>
      <c r="B590" s="55"/>
      <c r="D590" s="56"/>
      <c r="E590" s="57"/>
      <c r="H590" s="57"/>
      <c r="I590" s="57"/>
      <c r="J590" s="57"/>
      <c r="L590" s="57"/>
      <c r="N590" s="57"/>
      <c r="T590" s="55"/>
    </row>
    <row r="591">
      <c r="A591" s="55"/>
      <c r="B591" s="55"/>
      <c r="D591" s="56"/>
      <c r="E591" s="57"/>
      <c r="H591" s="57"/>
      <c r="I591" s="57"/>
      <c r="J591" s="57"/>
      <c r="L591" s="57"/>
      <c r="N591" s="57"/>
      <c r="T591" s="55"/>
    </row>
    <row r="592">
      <c r="A592" s="55"/>
      <c r="B592" s="55"/>
      <c r="D592" s="56"/>
      <c r="E592" s="57"/>
      <c r="H592" s="57"/>
      <c r="I592" s="57"/>
      <c r="J592" s="57"/>
      <c r="L592" s="57"/>
      <c r="N592" s="57"/>
      <c r="T592" s="55"/>
    </row>
    <row r="593">
      <c r="A593" s="55"/>
      <c r="B593" s="55"/>
      <c r="D593" s="56"/>
      <c r="E593" s="57"/>
      <c r="H593" s="57"/>
      <c r="I593" s="57"/>
      <c r="J593" s="57"/>
      <c r="L593" s="57"/>
      <c r="N593" s="57"/>
      <c r="T593" s="55"/>
    </row>
    <row r="594">
      <c r="A594" s="55"/>
      <c r="B594" s="55"/>
      <c r="D594" s="56"/>
      <c r="E594" s="57"/>
      <c r="H594" s="57"/>
      <c r="I594" s="57"/>
      <c r="J594" s="57"/>
      <c r="L594" s="57"/>
      <c r="N594" s="57"/>
      <c r="T594" s="55"/>
    </row>
    <row r="595">
      <c r="A595" s="55"/>
      <c r="B595" s="55"/>
      <c r="D595" s="56"/>
      <c r="E595" s="57"/>
      <c r="H595" s="57"/>
      <c r="I595" s="57"/>
      <c r="J595" s="57"/>
      <c r="L595" s="57"/>
      <c r="N595" s="57"/>
      <c r="T595" s="55"/>
    </row>
    <row r="596">
      <c r="A596" s="55"/>
      <c r="B596" s="55"/>
      <c r="D596" s="56"/>
      <c r="E596" s="57"/>
      <c r="H596" s="57"/>
      <c r="I596" s="57"/>
      <c r="J596" s="57"/>
      <c r="L596" s="57"/>
      <c r="N596" s="57"/>
      <c r="T596" s="55"/>
    </row>
    <row r="597">
      <c r="A597" s="55"/>
      <c r="B597" s="55"/>
      <c r="D597" s="56"/>
      <c r="E597" s="57"/>
      <c r="H597" s="57"/>
      <c r="I597" s="57"/>
      <c r="J597" s="57"/>
      <c r="L597" s="57"/>
      <c r="N597" s="57"/>
      <c r="T597" s="55"/>
    </row>
    <row r="598">
      <c r="A598" s="55"/>
      <c r="B598" s="55"/>
      <c r="D598" s="56"/>
      <c r="E598" s="57"/>
      <c r="H598" s="57"/>
      <c r="I598" s="57"/>
      <c r="J598" s="57"/>
      <c r="L598" s="57"/>
      <c r="N598" s="57"/>
      <c r="T598" s="55"/>
    </row>
    <row r="599">
      <c r="A599" s="55"/>
      <c r="B599" s="55"/>
      <c r="D599" s="56"/>
      <c r="E599" s="57"/>
      <c r="H599" s="57"/>
      <c r="I599" s="57"/>
      <c r="J599" s="57"/>
      <c r="L599" s="57"/>
      <c r="N599" s="57"/>
      <c r="T599" s="55"/>
    </row>
    <row r="600">
      <c r="A600" s="55"/>
      <c r="B600" s="55"/>
      <c r="D600" s="56"/>
      <c r="E600" s="57"/>
      <c r="H600" s="57"/>
      <c r="I600" s="57"/>
      <c r="J600" s="57"/>
      <c r="L600" s="57"/>
      <c r="N600" s="57"/>
      <c r="T600" s="55"/>
    </row>
    <row r="601">
      <c r="A601" s="55"/>
      <c r="B601" s="55"/>
      <c r="D601" s="56"/>
      <c r="E601" s="57"/>
      <c r="H601" s="57"/>
      <c r="I601" s="57"/>
      <c r="J601" s="57"/>
      <c r="L601" s="57"/>
      <c r="N601" s="57"/>
      <c r="T601" s="55"/>
    </row>
    <row r="602">
      <c r="A602" s="55"/>
      <c r="B602" s="55"/>
      <c r="D602" s="56"/>
      <c r="E602" s="57"/>
      <c r="H602" s="57"/>
      <c r="I602" s="57"/>
      <c r="J602" s="57"/>
      <c r="L602" s="57"/>
      <c r="N602" s="57"/>
      <c r="T602" s="55"/>
    </row>
    <row r="603">
      <c r="A603" s="55"/>
      <c r="B603" s="55"/>
      <c r="D603" s="56"/>
      <c r="E603" s="57"/>
      <c r="H603" s="57"/>
      <c r="I603" s="57"/>
      <c r="J603" s="57"/>
      <c r="L603" s="57"/>
      <c r="N603" s="57"/>
      <c r="T603" s="55"/>
    </row>
    <row r="604">
      <c r="A604" s="55"/>
      <c r="B604" s="55"/>
      <c r="D604" s="56"/>
      <c r="E604" s="57"/>
      <c r="H604" s="57"/>
      <c r="I604" s="57"/>
      <c r="J604" s="57"/>
      <c r="L604" s="57"/>
      <c r="N604" s="57"/>
      <c r="T604" s="55"/>
    </row>
    <row r="605">
      <c r="A605" s="55"/>
      <c r="B605" s="55"/>
      <c r="D605" s="56"/>
      <c r="E605" s="57"/>
      <c r="H605" s="57"/>
      <c r="I605" s="57"/>
      <c r="J605" s="57"/>
      <c r="L605" s="57"/>
      <c r="N605" s="57"/>
      <c r="T605" s="55"/>
    </row>
    <row r="606">
      <c r="A606" s="55"/>
      <c r="B606" s="55"/>
      <c r="D606" s="56"/>
      <c r="E606" s="57"/>
      <c r="H606" s="57"/>
      <c r="I606" s="57"/>
      <c r="J606" s="57"/>
      <c r="L606" s="57"/>
      <c r="N606" s="57"/>
      <c r="T606" s="55"/>
    </row>
    <row r="607">
      <c r="A607" s="55"/>
      <c r="B607" s="55"/>
      <c r="D607" s="56"/>
      <c r="E607" s="57"/>
      <c r="H607" s="57"/>
      <c r="I607" s="57"/>
      <c r="J607" s="57"/>
      <c r="L607" s="57"/>
      <c r="N607" s="57"/>
      <c r="T607" s="55"/>
    </row>
    <row r="608">
      <c r="A608" s="55"/>
      <c r="B608" s="55"/>
      <c r="D608" s="56"/>
      <c r="E608" s="57"/>
      <c r="H608" s="57"/>
      <c r="I608" s="57"/>
      <c r="J608" s="57"/>
      <c r="L608" s="57"/>
      <c r="N608" s="57"/>
      <c r="T608" s="55"/>
    </row>
    <row r="609">
      <c r="A609" s="55"/>
      <c r="B609" s="55"/>
      <c r="D609" s="56"/>
      <c r="E609" s="57"/>
      <c r="H609" s="57"/>
      <c r="I609" s="57"/>
      <c r="J609" s="57"/>
      <c r="L609" s="57"/>
      <c r="N609" s="57"/>
      <c r="T609" s="55"/>
    </row>
    <row r="610">
      <c r="A610" s="55"/>
      <c r="B610" s="55"/>
      <c r="D610" s="56"/>
      <c r="E610" s="57"/>
      <c r="H610" s="57"/>
      <c r="I610" s="57"/>
      <c r="J610" s="57"/>
      <c r="L610" s="57"/>
      <c r="N610" s="57"/>
      <c r="T610" s="55"/>
    </row>
    <row r="611">
      <c r="A611" s="55"/>
      <c r="B611" s="55"/>
      <c r="D611" s="56"/>
      <c r="E611" s="57"/>
      <c r="H611" s="57"/>
      <c r="I611" s="57"/>
      <c r="J611" s="57"/>
      <c r="L611" s="57"/>
      <c r="N611" s="57"/>
      <c r="T611" s="55"/>
    </row>
    <row r="612">
      <c r="A612" s="55"/>
      <c r="B612" s="55"/>
      <c r="D612" s="56"/>
      <c r="E612" s="57"/>
      <c r="H612" s="57"/>
      <c r="I612" s="57"/>
      <c r="J612" s="57"/>
      <c r="L612" s="57"/>
      <c r="N612" s="57"/>
      <c r="T612" s="55"/>
    </row>
    <row r="613">
      <c r="A613" s="55"/>
      <c r="B613" s="55"/>
      <c r="D613" s="56"/>
      <c r="E613" s="57"/>
      <c r="H613" s="57"/>
      <c r="I613" s="57"/>
      <c r="J613" s="57"/>
      <c r="L613" s="57"/>
      <c r="N613" s="57"/>
      <c r="T613" s="55"/>
    </row>
    <row r="614">
      <c r="A614" s="55"/>
      <c r="B614" s="55"/>
      <c r="D614" s="56"/>
      <c r="E614" s="57"/>
      <c r="H614" s="57"/>
      <c r="I614" s="57"/>
      <c r="J614" s="57"/>
      <c r="L614" s="57"/>
      <c r="N614" s="57"/>
      <c r="T614" s="55"/>
    </row>
    <row r="615">
      <c r="A615" s="55"/>
      <c r="B615" s="55"/>
      <c r="D615" s="56"/>
      <c r="E615" s="57"/>
      <c r="H615" s="57"/>
      <c r="I615" s="57"/>
      <c r="J615" s="57"/>
      <c r="L615" s="57"/>
      <c r="N615" s="57"/>
      <c r="T615" s="55"/>
    </row>
    <row r="616">
      <c r="A616" s="55"/>
      <c r="B616" s="55"/>
      <c r="D616" s="56"/>
      <c r="E616" s="57"/>
      <c r="H616" s="57"/>
      <c r="I616" s="57"/>
      <c r="J616" s="57"/>
      <c r="L616" s="57"/>
      <c r="N616" s="57"/>
      <c r="T616" s="55"/>
    </row>
    <row r="617">
      <c r="A617" s="55"/>
      <c r="B617" s="55"/>
      <c r="D617" s="56"/>
      <c r="E617" s="57"/>
      <c r="H617" s="57"/>
      <c r="I617" s="57"/>
      <c r="J617" s="57"/>
      <c r="L617" s="57"/>
      <c r="N617" s="57"/>
      <c r="T617" s="55"/>
    </row>
    <row r="618">
      <c r="A618" s="55"/>
      <c r="B618" s="55"/>
      <c r="D618" s="56"/>
      <c r="E618" s="57"/>
      <c r="H618" s="57"/>
      <c r="I618" s="57"/>
      <c r="J618" s="57"/>
      <c r="L618" s="57"/>
      <c r="N618" s="57"/>
      <c r="T618" s="55"/>
    </row>
    <row r="619">
      <c r="A619" s="55"/>
      <c r="B619" s="55"/>
      <c r="D619" s="56"/>
      <c r="E619" s="57"/>
      <c r="H619" s="57"/>
      <c r="I619" s="57"/>
      <c r="J619" s="57"/>
      <c r="L619" s="57"/>
      <c r="N619" s="57"/>
      <c r="T619" s="55"/>
    </row>
    <row r="620">
      <c r="A620" s="55"/>
      <c r="B620" s="55"/>
      <c r="D620" s="56"/>
      <c r="E620" s="57"/>
      <c r="H620" s="57"/>
      <c r="I620" s="57"/>
      <c r="J620" s="57"/>
      <c r="L620" s="57"/>
      <c r="N620" s="57"/>
      <c r="T620" s="55"/>
    </row>
    <row r="621">
      <c r="A621" s="55"/>
      <c r="B621" s="55"/>
      <c r="D621" s="56"/>
      <c r="E621" s="57"/>
      <c r="H621" s="57"/>
      <c r="I621" s="57"/>
      <c r="J621" s="57"/>
      <c r="L621" s="57"/>
      <c r="N621" s="57"/>
      <c r="T621" s="55"/>
    </row>
    <row r="622">
      <c r="A622" s="55"/>
      <c r="B622" s="55"/>
      <c r="D622" s="56"/>
      <c r="E622" s="57"/>
      <c r="H622" s="57"/>
      <c r="I622" s="57"/>
      <c r="J622" s="57"/>
      <c r="L622" s="57"/>
      <c r="N622" s="57"/>
      <c r="T622" s="55"/>
    </row>
    <row r="623">
      <c r="A623" s="55"/>
      <c r="B623" s="55"/>
      <c r="D623" s="56"/>
      <c r="E623" s="57"/>
      <c r="H623" s="57"/>
      <c r="I623" s="57"/>
      <c r="J623" s="57"/>
      <c r="L623" s="57"/>
      <c r="N623" s="57"/>
      <c r="T623" s="55"/>
    </row>
    <row r="624">
      <c r="A624" s="55"/>
      <c r="B624" s="55"/>
      <c r="D624" s="56"/>
      <c r="E624" s="57"/>
      <c r="H624" s="57"/>
      <c r="I624" s="57"/>
      <c r="J624" s="57"/>
      <c r="L624" s="57"/>
      <c r="N624" s="57"/>
      <c r="T624" s="55"/>
    </row>
    <row r="625">
      <c r="A625" s="55"/>
      <c r="B625" s="55"/>
      <c r="D625" s="56"/>
      <c r="E625" s="57"/>
      <c r="H625" s="57"/>
      <c r="I625" s="57"/>
      <c r="J625" s="57"/>
      <c r="L625" s="57"/>
      <c r="N625" s="57"/>
      <c r="T625" s="55"/>
    </row>
    <row r="626">
      <c r="A626" s="55"/>
      <c r="B626" s="55"/>
      <c r="D626" s="56"/>
      <c r="E626" s="57"/>
      <c r="H626" s="57"/>
      <c r="I626" s="57"/>
      <c r="J626" s="57"/>
      <c r="L626" s="57"/>
      <c r="N626" s="57"/>
      <c r="T626" s="55"/>
    </row>
    <row r="627">
      <c r="A627" s="55"/>
      <c r="B627" s="55"/>
      <c r="D627" s="56"/>
      <c r="E627" s="57"/>
      <c r="H627" s="57"/>
      <c r="I627" s="57"/>
      <c r="J627" s="57"/>
      <c r="L627" s="57"/>
      <c r="N627" s="57"/>
      <c r="T627" s="55"/>
    </row>
    <row r="628">
      <c r="A628" s="55"/>
      <c r="B628" s="55"/>
      <c r="D628" s="56"/>
      <c r="E628" s="57"/>
      <c r="H628" s="57"/>
      <c r="I628" s="57"/>
      <c r="J628" s="57"/>
      <c r="L628" s="57"/>
      <c r="N628" s="57"/>
      <c r="T628" s="55"/>
    </row>
    <row r="629">
      <c r="A629" s="55"/>
      <c r="B629" s="55"/>
      <c r="D629" s="56"/>
      <c r="E629" s="57"/>
      <c r="H629" s="57"/>
      <c r="I629" s="57"/>
      <c r="J629" s="57"/>
      <c r="L629" s="57"/>
      <c r="N629" s="57"/>
      <c r="T629" s="55"/>
    </row>
    <row r="630">
      <c r="A630" s="55"/>
      <c r="B630" s="55"/>
      <c r="D630" s="56"/>
      <c r="E630" s="57"/>
      <c r="H630" s="57"/>
      <c r="I630" s="57"/>
      <c r="J630" s="57"/>
      <c r="L630" s="57"/>
      <c r="N630" s="57"/>
      <c r="T630" s="55"/>
    </row>
    <row r="631">
      <c r="A631" s="55"/>
      <c r="B631" s="55"/>
      <c r="D631" s="56"/>
      <c r="E631" s="57"/>
      <c r="H631" s="57"/>
      <c r="I631" s="57"/>
      <c r="J631" s="57"/>
      <c r="L631" s="57"/>
      <c r="N631" s="57"/>
      <c r="T631" s="55"/>
    </row>
    <row r="632">
      <c r="A632" s="55"/>
      <c r="B632" s="55"/>
      <c r="D632" s="56"/>
      <c r="E632" s="57"/>
      <c r="H632" s="57"/>
      <c r="I632" s="57"/>
      <c r="J632" s="57"/>
      <c r="L632" s="57"/>
      <c r="N632" s="57"/>
      <c r="T632" s="55"/>
    </row>
    <row r="633">
      <c r="A633" s="55"/>
      <c r="B633" s="55"/>
      <c r="D633" s="56"/>
      <c r="E633" s="57"/>
      <c r="H633" s="57"/>
      <c r="I633" s="57"/>
      <c r="J633" s="57"/>
      <c r="L633" s="57"/>
      <c r="N633" s="57"/>
      <c r="T633" s="55"/>
    </row>
    <row r="634">
      <c r="A634" s="55"/>
      <c r="B634" s="55"/>
      <c r="D634" s="56"/>
      <c r="E634" s="57"/>
      <c r="H634" s="57"/>
      <c r="I634" s="57"/>
      <c r="J634" s="57"/>
      <c r="L634" s="57"/>
      <c r="N634" s="57"/>
      <c r="T634" s="55"/>
    </row>
    <row r="635">
      <c r="A635" s="55"/>
      <c r="B635" s="55"/>
      <c r="D635" s="56"/>
      <c r="E635" s="57"/>
      <c r="H635" s="57"/>
      <c r="I635" s="57"/>
      <c r="J635" s="57"/>
      <c r="L635" s="57"/>
      <c r="N635" s="57"/>
      <c r="T635" s="55"/>
    </row>
    <row r="636">
      <c r="A636" s="55"/>
      <c r="B636" s="55"/>
      <c r="D636" s="56"/>
      <c r="E636" s="57"/>
      <c r="H636" s="57"/>
      <c r="I636" s="57"/>
      <c r="J636" s="57"/>
      <c r="L636" s="57"/>
      <c r="N636" s="57"/>
      <c r="T636" s="55"/>
    </row>
    <row r="637">
      <c r="A637" s="55"/>
      <c r="B637" s="55"/>
      <c r="D637" s="56"/>
      <c r="E637" s="57"/>
      <c r="H637" s="57"/>
      <c r="I637" s="57"/>
      <c r="J637" s="57"/>
      <c r="L637" s="57"/>
      <c r="N637" s="57"/>
      <c r="T637" s="55"/>
    </row>
    <row r="638">
      <c r="A638" s="55"/>
      <c r="B638" s="55"/>
      <c r="D638" s="56"/>
      <c r="E638" s="57"/>
      <c r="H638" s="57"/>
      <c r="I638" s="57"/>
      <c r="J638" s="57"/>
      <c r="L638" s="57"/>
      <c r="N638" s="57"/>
      <c r="T638" s="55"/>
    </row>
    <row r="639">
      <c r="A639" s="55"/>
      <c r="B639" s="55"/>
      <c r="D639" s="56"/>
      <c r="E639" s="57"/>
      <c r="H639" s="57"/>
      <c r="I639" s="57"/>
      <c r="J639" s="57"/>
      <c r="L639" s="57"/>
      <c r="N639" s="57"/>
      <c r="T639" s="55"/>
    </row>
    <row r="640">
      <c r="A640" s="55"/>
      <c r="B640" s="55"/>
      <c r="D640" s="56"/>
      <c r="E640" s="57"/>
      <c r="H640" s="57"/>
      <c r="I640" s="57"/>
      <c r="J640" s="57"/>
      <c r="L640" s="57"/>
      <c r="N640" s="57"/>
      <c r="T640" s="55"/>
    </row>
    <row r="641">
      <c r="A641" s="55"/>
      <c r="B641" s="55"/>
      <c r="D641" s="56"/>
      <c r="E641" s="57"/>
      <c r="H641" s="57"/>
      <c r="I641" s="57"/>
      <c r="J641" s="57"/>
      <c r="L641" s="57"/>
      <c r="N641" s="57"/>
      <c r="T641" s="55"/>
    </row>
    <row r="642">
      <c r="A642" s="55"/>
      <c r="B642" s="55"/>
      <c r="D642" s="56"/>
      <c r="E642" s="57"/>
      <c r="H642" s="57"/>
      <c r="I642" s="57"/>
      <c r="J642" s="57"/>
      <c r="L642" s="57"/>
      <c r="N642" s="57"/>
      <c r="T642" s="55"/>
    </row>
    <row r="643">
      <c r="A643" s="55"/>
      <c r="B643" s="55"/>
      <c r="D643" s="56"/>
      <c r="E643" s="57"/>
      <c r="H643" s="57"/>
      <c r="I643" s="57"/>
      <c r="J643" s="57"/>
      <c r="L643" s="57"/>
      <c r="N643" s="57"/>
      <c r="T643" s="55"/>
    </row>
    <row r="644">
      <c r="A644" s="55"/>
      <c r="B644" s="55"/>
      <c r="D644" s="56"/>
      <c r="E644" s="57"/>
      <c r="H644" s="57"/>
      <c r="I644" s="57"/>
      <c r="J644" s="57"/>
      <c r="L644" s="57"/>
      <c r="N644" s="57"/>
      <c r="T644" s="55"/>
    </row>
    <row r="645">
      <c r="A645" s="55"/>
      <c r="B645" s="55"/>
      <c r="D645" s="56"/>
      <c r="E645" s="57"/>
      <c r="H645" s="57"/>
      <c r="I645" s="57"/>
      <c r="J645" s="57"/>
      <c r="L645" s="57"/>
      <c r="N645" s="57"/>
      <c r="T645" s="55"/>
    </row>
    <row r="646">
      <c r="A646" s="55"/>
      <c r="B646" s="55"/>
      <c r="D646" s="56"/>
      <c r="E646" s="57"/>
      <c r="H646" s="57"/>
      <c r="I646" s="57"/>
      <c r="J646" s="57"/>
      <c r="L646" s="57"/>
      <c r="N646" s="57"/>
      <c r="T646" s="55"/>
    </row>
    <row r="647">
      <c r="A647" s="55"/>
      <c r="B647" s="55"/>
      <c r="D647" s="56"/>
      <c r="E647" s="57"/>
      <c r="H647" s="57"/>
      <c r="I647" s="57"/>
      <c r="J647" s="57"/>
      <c r="L647" s="57"/>
      <c r="N647" s="57"/>
      <c r="T647" s="55"/>
    </row>
    <row r="648">
      <c r="A648" s="55"/>
      <c r="B648" s="55"/>
      <c r="D648" s="56"/>
      <c r="E648" s="57"/>
      <c r="H648" s="57"/>
      <c r="I648" s="57"/>
      <c r="J648" s="57"/>
      <c r="L648" s="57"/>
      <c r="N648" s="57"/>
      <c r="T648" s="55"/>
    </row>
    <row r="649">
      <c r="A649" s="55"/>
      <c r="B649" s="55"/>
      <c r="D649" s="56"/>
      <c r="E649" s="57"/>
      <c r="H649" s="57"/>
      <c r="I649" s="57"/>
      <c r="J649" s="57"/>
      <c r="L649" s="57"/>
      <c r="N649" s="57"/>
      <c r="T649" s="55"/>
    </row>
    <row r="650">
      <c r="A650" s="55"/>
      <c r="B650" s="55"/>
      <c r="D650" s="56"/>
      <c r="E650" s="57"/>
      <c r="H650" s="57"/>
      <c r="I650" s="57"/>
      <c r="J650" s="57"/>
      <c r="L650" s="57"/>
      <c r="N650" s="57"/>
      <c r="T650" s="55"/>
    </row>
    <row r="651">
      <c r="A651" s="55"/>
      <c r="B651" s="55"/>
      <c r="D651" s="56"/>
      <c r="E651" s="57"/>
      <c r="H651" s="57"/>
      <c r="I651" s="57"/>
      <c r="J651" s="57"/>
      <c r="L651" s="57"/>
      <c r="N651" s="57"/>
      <c r="T651" s="55"/>
    </row>
    <row r="652">
      <c r="A652" s="55"/>
      <c r="B652" s="55"/>
      <c r="D652" s="56"/>
      <c r="E652" s="57"/>
      <c r="H652" s="57"/>
      <c r="I652" s="57"/>
      <c r="J652" s="57"/>
      <c r="L652" s="57"/>
      <c r="N652" s="57"/>
      <c r="T652" s="55"/>
    </row>
    <row r="653">
      <c r="A653" s="55"/>
      <c r="B653" s="55"/>
      <c r="D653" s="56"/>
      <c r="E653" s="57"/>
      <c r="H653" s="57"/>
      <c r="I653" s="57"/>
      <c r="J653" s="57"/>
      <c r="L653" s="57"/>
      <c r="N653" s="57"/>
      <c r="T653" s="55"/>
    </row>
    <row r="654">
      <c r="A654" s="55"/>
      <c r="B654" s="55"/>
      <c r="D654" s="56"/>
      <c r="E654" s="57"/>
      <c r="H654" s="57"/>
      <c r="I654" s="57"/>
      <c r="J654" s="57"/>
      <c r="L654" s="57"/>
      <c r="N654" s="57"/>
      <c r="T654" s="55"/>
    </row>
    <row r="655">
      <c r="A655" s="55"/>
      <c r="B655" s="55"/>
      <c r="D655" s="56"/>
      <c r="E655" s="57"/>
      <c r="H655" s="57"/>
      <c r="I655" s="57"/>
      <c r="J655" s="57"/>
      <c r="L655" s="57"/>
      <c r="N655" s="57"/>
      <c r="T655" s="55"/>
    </row>
    <row r="656">
      <c r="A656" s="55"/>
      <c r="B656" s="55"/>
      <c r="D656" s="56"/>
      <c r="E656" s="57"/>
      <c r="H656" s="57"/>
      <c r="I656" s="57"/>
      <c r="J656" s="57"/>
      <c r="L656" s="57"/>
      <c r="N656" s="57"/>
      <c r="T656" s="55"/>
    </row>
    <row r="657">
      <c r="A657" s="55"/>
      <c r="B657" s="55"/>
      <c r="D657" s="56"/>
      <c r="E657" s="57"/>
      <c r="H657" s="57"/>
      <c r="I657" s="57"/>
      <c r="J657" s="57"/>
      <c r="L657" s="57"/>
      <c r="N657" s="57"/>
      <c r="T657" s="55"/>
    </row>
    <row r="658">
      <c r="A658" s="55"/>
      <c r="B658" s="55"/>
      <c r="D658" s="56"/>
      <c r="E658" s="57"/>
      <c r="H658" s="57"/>
      <c r="I658" s="57"/>
      <c r="J658" s="57"/>
      <c r="L658" s="57"/>
      <c r="N658" s="57"/>
      <c r="T658" s="55"/>
    </row>
    <row r="659">
      <c r="A659" s="55"/>
      <c r="B659" s="55"/>
      <c r="D659" s="56"/>
      <c r="E659" s="57"/>
      <c r="H659" s="57"/>
      <c r="I659" s="57"/>
      <c r="J659" s="57"/>
      <c r="L659" s="57"/>
      <c r="N659" s="57"/>
      <c r="T659" s="55"/>
    </row>
    <row r="660">
      <c r="A660" s="55"/>
      <c r="B660" s="55"/>
      <c r="D660" s="56"/>
      <c r="E660" s="57"/>
      <c r="H660" s="57"/>
      <c r="I660" s="57"/>
      <c r="J660" s="57"/>
      <c r="L660" s="57"/>
      <c r="N660" s="57"/>
      <c r="T660" s="55"/>
    </row>
    <row r="661">
      <c r="A661" s="55"/>
      <c r="B661" s="55"/>
      <c r="D661" s="56"/>
      <c r="E661" s="57"/>
      <c r="H661" s="57"/>
      <c r="I661" s="57"/>
      <c r="J661" s="57"/>
      <c r="L661" s="57"/>
      <c r="N661" s="57"/>
      <c r="T661" s="55"/>
    </row>
    <row r="662">
      <c r="A662" s="55"/>
      <c r="B662" s="55"/>
      <c r="D662" s="56"/>
      <c r="E662" s="57"/>
      <c r="H662" s="57"/>
      <c r="I662" s="57"/>
      <c r="J662" s="57"/>
      <c r="L662" s="57"/>
      <c r="N662" s="57"/>
      <c r="T662" s="55"/>
    </row>
    <row r="663">
      <c r="A663" s="55"/>
      <c r="B663" s="55"/>
      <c r="D663" s="56"/>
      <c r="E663" s="57"/>
      <c r="H663" s="57"/>
      <c r="I663" s="57"/>
      <c r="J663" s="57"/>
      <c r="L663" s="57"/>
      <c r="N663" s="57"/>
      <c r="T663" s="55"/>
    </row>
    <row r="664">
      <c r="A664" s="55"/>
      <c r="B664" s="55"/>
      <c r="D664" s="56"/>
      <c r="E664" s="57"/>
      <c r="H664" s="57"/>
      <c r="I664" s="57"/>
      <c r="J664" s="57"/>
      <c r="L664" s="57"/>
      <c r="N664" s="57"/>
      <c r="T664" s="55"/>
    </row>
    <row r="665">
      <c r="A665" s="55"/>
      <c r="B665" s="55"/>
      <c r="D665" s="56"/>
      <c r="E665" s="57"/>
      <c r="H665" s="57"/>
      <c r="I665" s="57"/>
      <c r="J665" s="57"/>
      <c r="L665" s="57"/>
      <c r="N665" s="57"/>
      <c r="T665" s="55"/>
    </row>
    <row r="666">
      <c r="A666" s="55"/>
      <c r="B666" s="55"/>
      <c r="D666" s="56"/>
      <c r="E666" s="57"/>
      <c r="H666" s="57"/>
      <c r="I666" s="57"/>
      <c r="J666" s="57"/>
      <c r="L666" s="57"/>
      <c r="N666" s="57"/>
      <c r="T666" s="55"/>
    </row>
    <row r="667">
      <c r="A667" s="55"/>
      <c r="B667" s="55"/>
      <c r="D667" s="56"/>
      <c r="E667" s="57"/>
      <c r="H667" s="57"/>
      <c r="I667" s="57"/>
      <c r="J667" s="57"/>
      <c r="L667" s="57"/>
      <c r="N667" s="57"/>
      <c r="T667" s="55"/>
    </row>
    <row r="668">
      <c r="A668" s="55"/>
      <c r="B668" s="55"/>
      <c r="D668" s="56"/>
      <c r="E668" s="57"/>
      <c r="H668" s="57"/>
      <c r="I668" s="57"/>
      <c r="J668" s="57"/>
      <c r="L668" s="57"/>
      <c r="N668" s="57"/>
      <c r="T668" s="55"/>
    </row>
    <row r="669">
      <c r="A669" s="55"/>
      <c r="B669" s="55"/>
      <c r="D669" s="56"/>
      <c r="E669" s="57"/>
      <c r="H669" s="57"/>
      <c r="I669" s="57"/>
      <c r="J669" s="57"/>
      <c r="L669" s="57"/>
      <c r="N669" s="57"/>
      <c r="T669" s="55"/>
    </row>
    <row r="670">
      <c r="A670" s="55"/>
      <c r="B670" s="55"/>
      <c r="D670" s="56"/>
      <c r="E670" s="57"/>
      <c r="H670" s="57"/>
      <c r="I670" s="57"/>
      <c r="J670" s="57"/>
      <c r="L670" s="57"/>
      <c r="N670" s="57"/>
      <c r="T670" s="55"/>
    </row>
    <row r="671">
      <c r="A671" s="55"/>
      <c r="B671" s="55"/>
      <c r="D671" s="56"/>
      <c r="E671" s="57"/>
      <c r="H671" s="57"/>
      <c r="I671" s="57"/>
      <c r="J671" s="57"/>
      <c r="L671" s="57"/>
      <c r="N671" s="57"/>
      <c r="T671" s="55"/>
    </row>
    <row r="672">
      <c r="A672" s="55"/>
      <c r="B672" s="55"/>
      <c r="D672" s="56"/>
      <c r="E672" s="57"/>
      <c r="H672" s="57"/>
      <c r="I672" s="57"/>
      <c r="J672" s="57"/>
      <c r="L672" s="57"/>
      <c r="N672" s="57"/>
      <c r="T672" s="55"/>
    </row>
    <row r="673">
      <c r="A673" s="55"/>
      <c r="B673" s="55"/>
      <c r="D673" s="56"/>
      <c r="E673" s="57"/>
      <c r="H673" s="57"/>
      <c r="I673" s="57"/>
      <c r="J673" s="57"/>
      <c r="L673" s="57"/>
      <c r="N673" s="57"/>
      <c r="T673" s="55"/>
    </row>
    <row r="674">
      <c r="A674" s="55"/>
      <c r="B674" s="55"/>
      <c r="D674" s="56"/>
      <c r="E674" s="57"/>
      <c r="H674" s="57"/>
      <c r="I674" s="57"/>
      <c r="J674" s="57"/>
      <c r="L674" s="57"/>
      <c r="N674" s="57"/>
      <c r="T674" s="55"/>
    </row>
    <row r="675">
      <c r="A675" s="55"/>
      <c r="B675" s="55"/>
      <c r="D675" s="56"/>
      <c r="E675" s="57"/>
      <c r="H675" s="57"/>
      <c r="I675" s="57"/>
      <c r="J675" s="57"/>
      <c r="L675" s="57"/>
      <c r="N675" s="57"/>
      <c r="T675" s="55"/>
    </row>
    <row r="676">
      <c r="A676" s="55"/>
      <c r="B676" s="55"/>
      <c r="D676" s="56"/>
      <c r="E676" s="57"/>
      <c r="H676" s="57"/>
      <c r="I676" s="57"/>
      <c r="J676" s="57"/>
      <c r="L676" s="57"/>
      <c r="N676" s="57"/>
      <c r="T676" s="55"/>
    </row>
    <row r="677">
      <c r="A677" s="55"/>
      <c r="B677" s="55"/>
      <c r="D677" s="56"/>
      <c r="E677" s="57"/>
      <c r="H677" s="57"/>
      <c r="I677" s="57"/>
      <c r="J677" s="57"/>
      <c r="L677" s="57"/>
      <c r="N677" s="57"/>
      <c r="T677" s="55"/>
    </row>
    <row r="678">
      <c r="A678" s="55"/>
      <c r="B678" s="55"/>
      <c r="D678" s="56"/>
      <c r="E678" s="57"/>
      <c r="H678" s="57"/>
      <c r="I678" s="57"/>
      <c r="J678" s="57"/>
      <c r="L678" s="57"/>
      <c r="N678" s="57"/>
      <c r="T678" s="55"/>
    </row>
    <row r="679">
      <c r="A679" s="55"/>
      <c r="B679" s="55"/>
      <c r="D679" s="56"/>
      <c r="E679" s="57"/>
      <c r="H679" s="57"/>
      <c r="I679" s="57"/>
      <c r="J679" s="57"/>
      <c r="L679" s="57"/>
      <c r="N679" s="57"/>
      <c r="T679" s="55"/>
    </row>
    <row r="680">
      <c r="A680" s="55"/>
      <c r="B680" s="55"/>
      <c r="D680" s="56"/>
      <c r="E680" s="57"/>
      <c r="H680" s="57"/>
      <c r="I680" s="57"/>
      <c r="J680" s="57"/>
      <c r="L680" s="57"/>
      <c r="N680" s="57"/>
      <c r="T680" s="55"/>
    </row>
    <row r="681">
      <c r="A681" s="55"/>
      <c r="B681" s="55"/>
      <c r="D681" s="56"/>
      <c r="E681" s="57"/>
      <c r="H681" s="57"/>
      <c r="I681" s="57"/>
      <c r="J681" s="57"/>
      <c r="L681" s="57"/>
      <c r="N681" s="57"/>
      <c r="T681" s="55"/>
    </row>
    <row r="682">
      <c r="A682" s="55"/>
      <c r="B682" s="55"/>
      <c r="D682" s="56"/>
      <c r="E682" s="57"/>
      <c r="H682" s="57"/>
      <c r="I682" s="57"/>
      <c r="J682" s="57"/>
      <c r="L682" s="57"/>
      <c r="N682" s="57"/>
      <c r="T682" s="55"/>
    </row>
    <row r="683">
      <c r="A683" s="55"/>
      <c r="B683" s="55"/>
      <c r="D683" s="56"/>
      <c r="E683" s="57"/>
      <c r="H683" s="57"/>
      <c r="I683" s="57"/>
      <c r="J683" s="57"/>
      <c r="L683" s="57"/>
      <c r="N683" s="57"/>
      <c r="T683" s="55"/>
    </row>
    <row r="684">
      <c r="A684" s="55"/>
      <c r="B684" s="55"/>
      <c r="D684" s="56"/>
      <c r="E684" s="57"/>
      <c r="H684" s="57"/>
      <c r="I684" s="57"/>
      <c r="J684" s="57"/>
      <c r="L684" s="57"/>
      <c r="N684" s="57"/>
      <c r="T684" s="55"/>
    </row>
    <row r="685">
      <c r="A685" s="55"/>
      <c r="B685" s="55"/>
      <c r="D685" s="56"/>
      <c r="E685" s="57"/>
      <c r="H685" s="57"/>
      <c r="I685" s="57"/>
      <c r="J685" s="57"/>
      <c r="L685" s="57"/>
      <c r="N685" s="57"/>
      <c r="T685" s="55"/>
    </row>
    <row r="686">
      <c r="A686" s="55"/>
      <c r="B686" s="55"/>
      <c r="D686" s="56"/>
      <c r="E686" s="57"/>
      <c r="H686" s="57"/>
      <c r="I686" s="57"/>
      <c r="J686" s="57"/>
      <c r="L686" s="57"/>
      <c r="N686" s="57"/>
      <c r="T686" s="55"/>
    </row>
    <row r="687">
      <c r="A687" s="55"/>
      <c r="B687" s="55"/>
      <c r="D687" s="56"/>
      <c r="E687" s="57"/>
      <c r="H687" s="57"/>
      <c r="I687" s="57"/>
      <c r="J687" s="57"/>
      <c r="L687" s="57"/>
      <c r="N687" s="57"/>
      <c r="T687" s="55"/>
    </row>
    <row r="688">
      <c r="A688" s="55"/>
      <c r="B688" s="55"/>
      <c r="D688" s="56"/>
      <c r="E688" s="57"/>
      <c r="H688" s="57"/>
      <c r="I688" s="57"/>
      <c r="J688" s="57"/>
      <c r="L688" s="57"/>
      <c r="N688" s="57"/>
      <c r="T688" s="55"/>
    </row>
    <row r="689">
      <c r="A689" s="55"/>
      <c r="B689" s="55"/>
      <c r="D689" s="56"/>
      <c r="E689" s="57"/>
      <c r="H689" s="57"/>
      <c r="I689" s="57"/>
      <c r="J689" s="57"/>
      <c r="L689" s="57"/>
      <c r="N689" s="57"/>
      <c r="T689" s="55"/>
    </row>
    <row r="690">
      <c r="A690" s="55"/>
      <c r="B690" s="55"/>
      <c r="D690" s="56"/>
      <c r="E690" s="57"/>
      <c r="H690" s="57"/>
      <c r="I690" s="57"/>
      <c r="J690" s="57"/>
      <c r="L690" s="57"/>
      <c r="N690" s="57"/>
      <c r="T690" s="55"/>
    </row>
    <row r="691">
      <c r="A691" s="55"/>
      <c r="B691" s="55"/>
      <c r="D691" s="56"/>
      <c r="E691" s="57"/>
      <c r="H691" s="57"/>
      <c r="I691" s="57"/>
      <c r="J691" s="57"/>
      <c r="L691" s="57"/>
      <c r="N691" s="57"/>
      <c r="T691" s="55"/>
    </row>
    <row r="692">
      <c r="A692" s="55"/>
      <c r="B692" s="55"/>
      <c r="D692" s="56"/>
      <c r="E692" s="57"/>
      <c r="H692" s="57"/>
      <c r="I692" s="57"/>
      <c r="J692" s="57"/>
      <c r="L692" s="57"/>
      <c r="N692" s="57"/>
      <c r="T692" s="55"/>
    </row>
    <row r="693">
      <c r="A693" s="55"/>
      <c r="B693" s="55"/>
      <c r="D693" s="56"/>
      <c r="E693" s="57"/>
      <c r="H693" s="57"/>
      <c r="I693" s="57"/>
      <c r="J693" s="57"/>
      <c r="L693" s="57"/>
      <c r="N693" s="57"/>
      <c r="T693" s="55"/>
    </row>
    <row r="694">
      <c r="A694" s="55"/>
      <c r="B694" s="55"/>
      <c r="D694" s="56"/>
      <c r="E694" s="57"/>
      <c r="H694" s="57"/>
      <c r="I694" s="57"/>
      <c r="J694" s="57"/>
      <c r="L694" s="57"/>
      <c r="N694" s="57"/>
      <c r="T694" s="55"/>
    </row>
    <row r="695">
      <c r="A695" s="55"/>
      <c r="B695" s="55"/>
      <c r="D695" s="56"/>
      <c r="E695" s="57"/>
      <c r="H695" s="57"/>
      <c r="I695" s="57"/>
      <c r="J695" s="57"/>
      <c r="L695" s="57"/>
      <c r="N695" s="57"/>
      <c r="T695" s="55"/>
    </row>
    <row r="696">
      <c r="A696" s="55"/>
      <c r="B696" s="55"/>
      <c r="D696" s="56"/>
      <c r="E696" s="57"/>
      <c r="H696" s="57"/>
      <c r="I696" s="57"/>
      <c r="J696" s="57"/>
      <c r="L696" s="57"/>
      <c r="N696" s="57"/>
      <c r="T696" s="55"/>
    </row>
    <row r="697">
      <c r="A697" s="55"/>
      <c r="B697" s="55"/>
      <c r="D697" s="56"/>
      <c r="E697" s="57"/>
      <c r="H697" s="57"/>
      <c r="I697" s="57"/>
      <c r="J697" s="57"/>
      <c r="L697" s="57"/>
      <c r="N697" s="57"/>
      <c r="T697" s="55"/>
    </row>
    <row r="698">
      <c r="A698" s="55"/>
      <c r="B698" s="55"/>
      <c r="D698" s="56"/>
      <c r="E698" s="57"/>
      <c r="H698" s="57"/>
      <c r="I698" s="57"/>
      <c r="J698" s="57"/>
      <c r="L698" s="57"/>
      <c r="N698" s="57"/>
      <c r="T698" s="55"/>
    </row>
    <row r="699">
      <c r="A699" s="55"/>
      <c r="B699" s="55"/>
      <c r="D699" s="56"/>
      <c r="E699" s="57"/>
      <c r="H699" s="57"/>
      <c r="I699" s="57"/>
      <c r="J699" s="57"/>
      <c r="L699" s="57"/>
      <c r="N699" s="57"/>
      <c r="T699" s="55"/>
    </row>
    <row r="700">
      <c r="A700" s="55"/>
      <c r="B700" s="55"/>
      <c r="D700" s="56"/>
      <c r="E700" s="57"/>
      <c r="H700" s="57"/>
      <c r="I700" s="57"/>
      <c r="J700" s="57"/>
      <c r="L700" s="57"/>
      <c r="N700" s="57"/>
      <c r="T700" s="55"/>
    </row>
    <row r="701">
      <c r="A701" s="55"/>
      <c r="B701" s="55"/>
      <c r="D701" s="56"/>
      <c r="E701" s="57"/>
      <c r="H701" s="57"/>
      <c r="I701" s="57"/>
      <c r="J701" s="57"/>
      <c r="L701" s="57"/>
      <c r="N701" s="57"/>
      <c r="T701" s="55"/>
    </row>
    <row r="702">
      <c r="A702" s="55"/>
      <c r="B702" s="55"/>
      <c r="D702" s="56"/>
      <c r="E702" s="57"/>
      <c r="H702" s="57"/>
      <c r="I702" s="57"/>
      <c r="J702" s="57"/>
      <c r="L702" s="57"/>
      <c r="N702" s="57"/>
      <c r="T702" s="55"/>
    </row>
    <row r="703">
      <c r="A703" s="55"/>
      <c r="B703" s="55"/>
      <c r="D703" s="56"/>
      <c r="E703" s="57"/>
      <c r="H703" s="57"/>
      <c r="I703" s="57"/>
      <c r="J703" s="57"/>
      <c r="L703" s="57"/>
      <c r="N703" s="57"/>
      <c r="T703" s="55"/>
    </row>
    <row r="704">
      <c r="A704" s="55"/>
      <c r="B704" s="55"/>
      <c r="D704" s="56"/>
      <c r="E704" s="57"/>
      <c r="H704" s="57"/>
      <c r="I704" s="57"/>
      <c r="J704" s="57"/>
      <c r="L704" s="57"/>
      <c r="N704" s="57"/>
      <c r="T704" s="55"/>
    </row>
    <row r="705">
      <c r="A705" s="55"/>
      <c r="B705" s="55"/>
      <c r="D705" s="56"/>
      <c r="E705" s="57"/>
      <c r="H705" s="57"/>
      <c r="I705" s="57"/>
      <c r="J705" s="57"/>
      <c r="L705" s="57"/>
      <c r="N705" s="57"/>
      <c r="T705" s="55"/>
    </row>
    <row r="706">
      <c r="A706" s="55"/>
      <c r="B706" s="55"/>
      <c r="D706" s="56"/>
      <c r="E706" s="57"/>
      <c r="H706" s="57"/>
      <c r="I706" s="57"/>
      <c r="J706" s="57"/>
      <c r="L706" s="57"/>
      <c r="N706" s="57"/>
      <c r="T706" s="55"/>
    </row>
    <row r="707">
      <c r="A707" s="55"/>
      <c r="B707" s="55"/>
      <c r="D707" s="56"/>
      <c r="E707" s="57"/>
      <c r="H707" s="57"/>
      <c r="I707" s="57"/>
      <c r="J707" s="57"/>
      <c r="L707" s="57"/>
      <c r="N707" s="57"/>
      <c r="T707" s="55"/>
    </row>
    <row r="708">
      <c r="A708" s="55"/>
      <c r="B708" s="55"/>
      <c r="D708" s="56"/>
      <c r="E708" s="57"/>
      <c r="H708" s="57"/>
      <c r="I708" s="57"/>
      <c r="J708" s="57"/>
      <c r="L708" s="57"/>
      <c r="N708" s="57"/>
      <c r="T708" s="55"/>
    </row>
    <row r="709">
      <c r="A709" s="55"/>
      <c r="B709" s="55"/>
      <c r="D709" s="56"/>
      <c r="E709" s="57"/>
      <c r="H709" s="57"/>
      <c r="I709" s="57"/>
      <c r="J709" s="57"/>
      <c r="L709" s="57"/>
      <c r="N709" s="57"/>
      <c r="T709" s="55"/>
    </row>
    <row r="710">
      <c r="A710" s="55"/>
      <c r="B710" s="55"/>
      <c r="D710" s="56"/>
      <c r="E710" s="57"/>
      <c r="H710" s="57"/>
      <c r="I710" s="57"/>
      <c r="J710" s="57"/>
      <c r="L710" s="57"/>
      <c r="N710" s="57"/>
      <c r="T710" s="55"/>
    </row>
    <row r="711">
      <c r="A711" s="55"/>
      <c r="B711" s="55"/>
      <c r="D711" s="56"/>
      <c r="E711" s="57"/>
      <c r="H711" s="57"/>
      <c r="I711" s="57"/>
      <c r="J711" s="57"/>
      <c r="L711" s="57"/>
      <c r="N711" s="57"/>
      <c r="T711" s="55"/>
    </row>
    <row r="712">
      <c r="A712" s="55"/>
      <c r="B712" s="55"/>
      <c r="D712" s="56"/>
      <c r="E712" s="57"/>
      <c r="H712" s="57"/>
      <c r="I712" s="57"/>
      <c r="J712" s="57"/>
      <c r="L712" s="57"/>
      <c r="N712" s="57"/>
      <c r="T712" s="55"/>
    </row>
    <row r="713">
      <c r="A713" s="55"/>
      <c r="B713" s="55"/>
      <c r="D713" s="56"/>
      <c r="E713" s="57"/>
      <c r="H713" s="57"/>
      <c r="I713" s="57"/>
      <c r="J713" s="57"/>
      <c r="L713" s="57"/>
      <c r="N713" s="57"/>
      <c r="T713" s="55"/>
    </row>
    <row r="714">
      <c r="A714" s="55"/>
      <c r="B714" s="55"/>
      <c r="D714" s="56"/>
      <c r="E714" s="57"/>
      <c r="H714" s="57"/>
      <c r="I714" s="57"/>
      <c r="J714" s="57"/>
      <c r="L714" s="57"/>
      <c r="N714" s="57"/>
      <c r="T714" s="55"/>
    </row>
    <row r="715">
      <c r="A715" s="55"/>
      <c r="B715" s="55"/>
      <c r="D715" s="56"/>
      <c r="E715" s="57"/>
      <c r="H715" s="57"/>
      <c r="I715" s="57"/>
      <c r="J715" s="57"/>
      <c r="L715" s="57"/>
      <c r="N715" s="57"/>
      <c r="T715" s="55"/>
    </row>
    <row r="716">
      <c r="A716" s="55"/>
      <c r="B716" s="55"/>
      <c r="D716" s="56"/>
      <c r="E716" s="57"/>
      <c r="H716" s="57"/>
      <c r="I716" s="57"/>
      <c r="J716" s="57"/>
      <c r="L716" s="57"/>
      <c r="N716" s="57"/>
      <c r="T716" s="55"/>
    </row>
    <row r="717">
      <c r="A717" s="55"/>
      <c r="B717" s="55"/>
      <c r="D717" s="56"/>
      <c r="E717" s="57"/>
      <c r="H717" s="57"/>
      <c r="I717" s="57"/>
      <c r="J717" s="57"/>
      <c r="L717" s="57"/>
      <c r="N717" s="57"/>
      <c r="T717" s="55"/>
    </row>
    <row r="718">
      <c r="A718" s="55"/>
      <c r="B718" s="55"/>
      <c r="D718" s="56"/>
      <c r="E718" s="57"/>
      <c r="H718" s="57"/>
      <c r="I718" s="57"/>
      <c r="J718" s="57"/>
      <c r="L718" s="57"/>
      <c r="N718" s="57"/>
      <c r="T718" s="55"/>
    </row>
    <row r="719">
      <c r="A719" s="55"/>
      <c r="B719" s="55"/>
      <c r="D719" s="56"/>
      <c r="E719" s="57"/>
      <c r="H719" s="57"/>
      <c r="I719" s="57"/>
      <c r="J719" s="57"/>
      <c r="L719" s="57"/>
      <c r="N719" s="57"/>
      <c r="T719" s="55"/>
    </row>
    <row r="720">
      <c r="A720" s="55"/>
      <c r="B720" s="55"/>
      <c r="D720" s="56"/>
      <c r="E720" s="57"/>
      <c r="H720" s="57"/>
      <c r="I720" s="57"/>
      <c r="J720" s="57"/>
      <c r="L720" s="57"/>
      <c r="N720" s="57"/>
      <c r="T720" s="55"/>
    </row>
    <row r="721">
      <c r="A721" s="55"/>
      <c r="B721" s="55"/>
      <c r="D721" s="56"/>
      <c r="E721" s="57"/>
      <c r="H721" s="57"/>
      <c r="I721" s="57"/>
      <c r="J721" s="57"/>
      <c r="L721" s="57"/>
      <c r="N721" s="57"/>
      <c r="T721" s="55"/>
    </row>
    <row r="722">
      <c r="A722" s="55"/>
      <c r="B722" s="55"/>
      <c r="D722" s="56"/>
      <c r="E722" s="57"/>
      <c r="H722" s="57"/>
      <c r="I722" s="57"/>
      <c r="J722" s="57"/>
      <c r="L722" s="57"/>
      <c r="N722" s="57"/>
      <c r="T722" s="55"/>
    </row>
    <row r="723">
      <c r="A723" s="55"/>
      <c r="B723" s="55"/>
      <c r="D723" s="56"/>
      <c r="E723" s="57"/>
      <c r="H723" s="57"/>
      <c r="I723" s="57"/>
      <c r="J723" s="57"/>
      <c r="L723" s="57"/>
      <c r="N723" s="57"/>
      <c r="T723" s="55"/>
    </row>
    <row r="724">
      <c r="A724" s="55"/>
      <c r="B724" s="55"/>
      <c r="D724" s="56"/>
      <c r="E724" s="57"/>
      <c r="H724" s="57"/>
      <c r="I724" s="57"/>
      <c r="J724" s="57"/>
      <c r="L724" s="57"/>
      <c r="N724" s="57"/>
      <c r="T724" s="55"/>
    </row>
    <row r="725">
      <c r="A725" s="55"/>
      <c r="B725" s="55"/>
      <c r="D725" s="56"/>
      <c r="E725" s="57"/>
      <c r="H725" s="57"/>
      <c r="I725" s="57"/>
      <c r="J725" s="57"/>
      <c r="L725" s="57"/>
      <c r="N725" s="57"/>
      <c r="T725" s="55"/>
    </row>
    <row r="726">
      <c r="A726" s="55"/>
      <c r="B726" s="55"/>
      <c r="D726" s="56"/>
      <c r="E726" s="57"/>
      <c r="H726" s="57"/>
      <c r="I726" s="57"/>
      <c r="J726" s="57"/>
      <c r="L726" s="57"/>
      <c r="N726" s="57"/>
      <c r="T726" s="55"/>
    </row>
    <row r="727">
      <c r="A727" s="55"/>
      <c r="B727" s="55"/>
      <c r="D727" s="56"/>
      <c r="E727" s="57"/>
      <c r="H727" s="57"/>
      <c r="I727" s="57"/>
      <c r="J727" s="57"/>
      <c r="L727" s="57"/>
      <c r="N727" s="57"/>
      <c r="T727" s="55"/>
    </row>
    <row r="728">
      <c r="A728" s="55"/>
      <c r="B728" s="55"/>
      <c r="D728" s="56"/>
      <c r="E728" s="57"/>
      <c r="H728" s="57"/>
      <c r="I728" s="57"/>
      <c r="J728" s="57"/>
      <c r="L728" s="57"/>
      <c r="N728" s="57"/>
      <c r="T728" s="55"/>
    </row>
    <row r="729">
      <c r="A729" s="55"/>
      <c r="B729" s="55"/>
      <c r="D729" s="56"/>
      <c r="E729" s="57"/>
      <c r="H729" s="57"/>
      <c r="I729" s="57"/>
      <c r="J729" s="57"/>
      <c r="L729" s="57"/>
      <c r="N729" s="57"/>
      <c r="T729" s="55"/>
    </row>
    <row r="730">
      <c r="A730" s="55"/>
      <c r="B730" s="55"/>
      <c r="D730" s="56"/>
      <c r="E730" s="57"/>
      <c r="H730" s="57"/>
      <c r="I730" s="57"/>
      <c r="J730" s="57"/>
      <c r="L730" s="57"/>
      <c r="N730" s="57"/>
      <c r="T730" s="55"/>
    </row>
    <row r="731">
      <c r="A731" s="55"/>
      <c r="B731" s="55"/>
      <c r="D731" s="56"/>
      <c r="E731" s="57"/>
      <c r="H731" s="57"/>
      <c r="I731" s="57"/>
      <c r="J731" s="57"/>
      <c r="L731" s="57"/>
      <c r="N731" s="57"/>
      <c r="T731" s="55"/>
    </row>
    <row r="732">
      <c r="A732" s="55"/>
      <c r="B732" s="55"/>
      <c r="D732" s="56"/>
      <c r="E732" s="57"/>
      <c r="H732" s="57"/>
      <c r="I732" s="57"/>
      <c r="J732" s="57"/>
      <c r="L732" s="57"/>
      <c r="N732" s="57"/>
      <c r="T732" s="55"/>
    </row>
    <row r="733">
      <c r="A733" s="55"/>
      <c r="B733" s="55"/>
      <c r="D733" s="56"/>
      <c r="E733" s="57"/>
      <c r="H733" s="57"/>
      <c r="I733" s="57"/>
      <c r="J733" s="57"/>
      <c r="L733" s="57"/>
      <c r="N733" s="57"/>
      <c r="T733" s="55"/>
    </row>
    <row r="734">
      <c r="A734" s="55"/>
      <c r="B734" s="55"/>
      <c r="D734" s="56"/>
      <c r="E734" s="57"/>
      <c r="H734" s="57"/>
      <c r="I734" s="57"/>
      <c r="J734" s="57"/>
      <c r="L734" s="57"/>
      <c r="N734" s="57"/>
      <c r="T734" s="55"/>
    </row>
    <row r="735">
      <c r="A735" s="55"/>
      <c r="B735" s="55"/>
      <c r="D735" s="56"/>
      <c r="E735" s="57"/>
      <c r="H735" s="57"/>
      <c r="I735" s="57"/>
      <c r="J735" s="57"/>
      <c r="L735" s="57"/>
      <c r="N735" s="57"/>
      <c r="T735" s="55"/>
    </row>
    <row r="736">
      <c r="A736" s="55"/>
      <c r="B736" s="55"/>
      <c r="D736" s="56"/>
      <c r="E736" s="57"/>
      <c r="H736" s="57"/>
      <c r="I736" s="57"/>
      <c r="J736" s="57"/>
      <c r="L736" s="57"/>
      <c r="N736" s="57"/>
      <c r="T736" s="55"/>
    </row>
    <row r="737">
      <c r="A737" s="55"/>
      <c r="B737" s="55"/>
      <c r="D737" s="56"/>
      <c r="E737" s="57"/>
      <c r="H737" s="57"/>
      <c r="I737" s="57"/>
      <c r="J737" s="57"/>
      <c r="L737" s="57"/>
      <c r="N737" s="57"/>
      <c r="T737" s="55"/>
    </row>
    <row r="738">
      <c r="A738" s="55"/>
      <c r="B738" s="55"/>
      <c r="D738" s="56"/>
      <c r="E738" s="57"/>
      <c r="H738" s="57"/>
      <c r="I738" s="57"/>
      <c r="J738" s="57"/>
      <c r="L738" s="57"/>
      <c r="N738" s="57"/>
      <c r="T738" s="55"/>
    </row>
    <row r="739">
      <c r="A739" s="55"/>
      <c r="B739" s="55"/>
      <c r="D739" s="56"/>
      <c r="E739" s="57"/>
      <c r="H739" s="57"/>
      <c r="I739" s="57"/>
      <c r="J739" s="57"/>
      <c r="L739" s="57"/>
      <c r="N739" s="57"/>
      <c r="T739" s="55"/>
    </row>
    <row r="740">
      <c r="A740" s="55"/>
      <c r="B740" s="55"/>
      <c r="D740" s="56"/>
      <c r="E740" s="57"/>
      <c r="H740" s="57"/>
      <c r="I740" s="57"/>
      <c r="J740" s="57"/>
      <c r="L740" s="57"/>
      <c r="N740" s="57"/>
      <c r="T740" s="55"/>
    </row>
    <row r="741">
      <c r="A741" s="55"/>
      <c r="B741" s="55"/>
      <c r="D741" s="56"/>
      <c r="E741" s="57"/>
      <c r="H741" s="57"/>
      <c r="I741" s="57"/>
      <c r="J741" s="57"/>
      <c r="L741" s="57"/>
      <c r="N741" s="57"/>
      <c r="T741" s="55"/>
    </row>
    <row r="742">
      <c r="A742" s="55"/>
      <c r="B742" s="55"/>
      <c r="D742" s="56"/>
      <c r="E742" s="57"/>
      <c r="H742" s="57"/>
      <c r="I742" s="57"/>
      <c r="J742" s="57"/>
      <c r="L742" s="57"/>
      <c r="N742" s="57"/>
      <c r="T742" s="55"/>
    </row>
    <row r="743">
      <c r="A743" s="55"/>
      <c r="B743" s="55"/>
      <c r="D743" s="56"/>
      <c r="E743" s="57"/>
      <c r="H743" s="57"/>
      <c r="I743" s="57"/>
      <c r="J743" s="57"/>
      <c r="L743" s="57"/>
      <c r="N743" s="57"/>
      <c r="T743" s="55"/>
    </row>
    <row r="744">
      <c r="A744" s="55"/>
      <c r="B744" s="55"/>
      <c r="D744" s="56"/>
      <c r="E744" s="57"/>
      <c r="H744" s="57"/>
      <c r="I744" s="57"/>
      <c r="J744" s="57"/>
      <c r="L744" s="57"/>
      <c r="N744" s="57"/>
      <c r="T744" s="55"/>
    </row>
    <row r="745">
      <c r="A745" s="55"/>
      <c r="B745" s="55"/>
      <c r="D745" s="56"/>
      <c r="E745" s="57"/>
      <c r="H745" s="57"/>
      <c r="I745" s="57"/>
      <c r="J745" s="57"/>
      <c r="L745" s="57"/>
      <c r="N745" s="57"/>
      <c r="T745" s="55"/>
    </row>
    <row r="746">
      <c r="A746" s="55"/>
      <c r="B746" s="55"/>
      <c r="D746" s="56"/>
      <c r="E746" s="57"/>
      <c r="H746" s="57"/>
      <c r="I746" s="57"/>
      <c r="J746" s="57"/>
      <c r="L746" s="57"/>
      <c r="N746" s="57"/>
      <c r="T746" s="55"/>
    </row>
    <row r="747">
      <c r="A747" s="55"/>
      <c r="B747" s="55"/>
      <c r="D747" s="56"/>
      <c r="E747" s="57"/>
      <c r="H747" s="57"/>
      <c r="I747" s="57"/>
      <c r="J747" s="57"/>
      <c r="L747" s="57"/>
      <c r="N747" s="57"/>
      <c r="T747" s="55"/>
    </row>
    <row r="748">
      <c r="A748" s="55"/>
      <c r="B748" s="55"/>
      <c r="D748" s="56"/>
      <c r="E748" s="57"/>
      <c r="H748" s="57"/>
      <c r="I748" s="57"/>
      <c r="J748" s="57"/>
      <c r="L748" s="57"/>
      <c r="N748" s="57"/>
      <c r="T748" s="55"/>
    </row>
    <row r="749">
      <c r="A749" s="55"/>
      <c r="B749" s="55"/>
      <c r="D749" s="56"/>
      <c r="E749" s="57"/>
      <c r="H749" s="57"/>
      <c r="I749" s="57"/>
      <c r="J749" s="57"/>
      <c r="L749" s="57"/>
      <c r="N749" s="57"/>
      <c r="T749" s="55"/>
    </row>
    <row r="750">
      <c r="A750" s="55"/>
      <c r="B750" s="55"/>
      <c r="D750" s="56"/>
      <c r="E750" s="57"/>
      <c r="H750" s="57"/>
      <c r="I750" s="57"/>
      <c r="J750" s="57"/>
      <c r="L750" s="57"/>
      <c r="N750" s="57"/>
      <c r="T750" s="55"/>
    </row>
    <row r="751">
      <c r="A751" s="55"/>
      <c r="B751" s="55"/>
      <c r="D751" s="56"/>
      <c r="E751" s="57"/>
      <c r="H751" s="57"/>
      <c r="I751" s="57"/>
      <c r="J751" s="57"/>
      <c r="L751" s="57"/>
      <c r="N751" s="57"/>
      <c r="T751" s="55"/>
    </row>
    <row r="752">
      <c r="A752" s="55"/>
      <c r="B752" s="55"/>
      <c r="D752" s="56"/>
      <c r="E752" s="57"/>
      <c r="H752" s="57"/>
      <c r="I752" s="57"/>
      <c r="J752" s="57"/>
      <c r="L752" s="57"/>
      <c r="N752" s="57"/>
      <c r="T752" s="55"/>
    </row>
    <row r="753">
      <c r="A753" s="55"/>
      <c r="B753" s="55"/>
      <c r="D753" s="56"/>
      <c r="E753" s="57"/>
      <c r="H753" s="57"/>
      <c r="I753" s="57"/>
      <c r="J753" s="57"/>
      <c r="L753" s="57"/>
      <c r="N753" s="57"/>
      <c r="T753" s="55"/>
    </row>
    <row r="754">
      <c r="A754" s="55"/>
      <c r="B754" s="55"/>
      <c r="D754" s="56"/>
      <c r="E754" s="57"/>
      <c r="H754" s="57"/>
      <c r="I754" s="57"/>
      <c r="J754" s="57"/>
      <c r="L754" s="57"/>
      <c r="N754" s="57"/>
      <c r="T754" s="55"/>
    </row>
    <row r="755">
      <c r="A755" s="55"/>
      <c r="B755" s="55"/>
      <c r="D755" s="56"/>
      <c r="E755" s="57"/>
      <c r="H755" s="57"/>
      <c r="I755" s="57"/>
      <c r="J755" s="57"/>
      <c r="L755" s="57"/>
      <c r="N755" s="57"/>
      <c r="T755" s="55"/>
    </row>
    <row r="756">
      <c r="A756" s="55"/>
      <c r="B756" s="55"/>
      <c r="D756" s="56"/>
      <c r="E756" s="57"/>
      <c r="H756" s="57"/>
      <c r="I756" s="57"/>
      <c r="J756" s="57"/>
      <c r="L756" s="57"/>
      <c r="N756" s="57"/>
      <c r="T756" s="55"/>
    </row>
    <row r="757">
      <c r="A757" s="55"/>
      <c r="B757" s="55"/>
      <c r="D757" s="56"/>
      <c r="E757" s="57"/>
      <c r="H757" s="57"/>
      <c r="I757" s="57"/>
      <c r="J757" s="57"/>
      <c r="L757" s="57"/>
      <c r="N757" s="57"/>
      <c r="T757" s="55"/>
    </row>
    <row r="758">
      <c r="A758" s="55"/>
      <c r="B758" s="55"/>
      <c r="D758" s="56"/>
      <c r="E758" s="57"/>
      <c r="H758" s="57"/>
      <c r="I758" s="57"/>
      <c r="J758" s="57"/>
      <c r="L758" s="57"/>
      <c r="N758" s="57"/>
      <c r="T758" s="55"/>
    </row>
    <row r="759">
      <c r="A759" s="55"/>
      <c r="B759" s="55"/>
      <c r="D759" s="56"/>
      <c r="E759" s="57"/>
      <c r="H759" s="57"/>
      <c r="I759" s="57"/>
      <c r="J759" s="57"/>
      <c r="L759" s="57"/>
      <c r="N759" s="57"/>
      <c r="T759" s="55"/>
    </row>
    <row r="760">
      <c r="A760" s="55"/>
      <c r="B760" s="55"/>
      <c r="D760" s="56"/>
      <c r="E760" s="57"/>
      <c r="H760" s="57"/>
      <c r="I760" s="57"/>
      <c r="J760" s="57"/>
      <c r="L760" s="57"/>
      <c r="N760" s="57"/>
      <c r="T760" s="55"/>
    </row>
    <row r="761">
      <c r="A761" s="55"/>
      <c r="B761" s="55"/>
      <c r="D761" s="56"/>
      <c r="E761" s="57"/>
      <c r="H761" s="57"/>
      <c r="I761" s="57"/>
      <c r="J761" s="57"/>
      <c r="L761" s="57"/>
      <c r="N761" s="57"/>
      <c r="T761" s="55"/>
    </row>
    <row r="762">
      <c r="A762" s="55"/>
      <c r="B762" s="55"/>
      <c r="D762" s="56"/>
      <c r="E762" s="57"/>
      <c r="H762" s="57"/>
      <c r="I762" s="57"/>
      <c r="J762" s="57"/>
      <c r="L762" s="57"/>
      <c r="N762" s="57"/>
      <c r="T762" s="55"/>
    </row>
    <row r="763">
      <c r="A763" s="55"/>
      <c r="B763" s="55"/>
      <c r="D763" s="56"/>
      <c r="E763" s="57"/>
      <c r="H763" s="57"/>
      <c r="I763" s="57"/>
      <c r="J763" s="57"/>
      <c r="L763" s="57"/>
      <c r="N763" s="57"/>
      <c r="T763" s="55"/>
    </row>
    <row r="764">
      <c r="A764" s="55"/>
      <c r="B764" s="55"/>
      <c r="D764" s="56"/>
      <c r="E764" s="57"/>
      <c r="H764" s="57"/>
      <c r="I764" s="57"/>
      <c r="J764" s="57"/>
      <c r="L764" s="57"/>
      <c r="N764" s="57"/>
      <c r="T764" s="55"/>
    </row>
    <row r="765">
      <c r="A765" s="55"/>
      <c r="B765" s="55"/>
      <c r="D765" s="56"/>
      <c r="E765" s="57"/>
      <c r="H765" s="57"/>
      <c r="I765" s="57"/>
      <c r="J765" s="57"/>
      <c r="L765" s="57"/>
      <c r="N765" s="57"/>
      <c r="T765" s="55"/>
    </row>
    <row r="766">
      <c r="A766" s="55"/>
      <c r="B766" s="55"/>
      <c r="D766" s="56"/>
      <c r="E766" s="57"/>
      <c r="H766" s="57"/>
      <c r="I766" s="57"/>
      <c r="J766" s="57"/>
      <c r="L766" s="57"/>
      <c r="N766" s="57"/>
      <c r="T766" s="55"/>
    </row>
    <row r="767">
      <c r="A767" s="55"/>
      <c r="B767" s="55"/>
      <c r="D767" s="56"/>
      <c r="E767" s="57"/>
      <c r="H767" s="57"/>
      <c r="I767" s="57"/>
      <c r="J767" s="57"/>
      <c r="L767" s="57"/>
      <c r="N767" s="57"/>
      <c r="T767" s="55"/>
    </row>
    <row r="768">
      <c r="A768" s="55"/>
      <c r="B768" s="55"/>
      <c r="D768" s="56"/>
      <c r="E768" s="57"/>
      <c r="H768" s="57"/>
      <c r="I768" s="57"/>
      <c r="J768" s="57"/>
      <c r="L768" s="57"/>
      <c r="N768" s="57"/>
      <c r="T768" s="55"/>
    </row>
    <row r="769">
      <c r="A769" s="55"/>
      <c r="B769" s="55"/>
      <c r="D769" s="56"/>
      <c r="E769" s="57"/>
      <c r="H769" s="57"/>
      <c r="I769" s="57"/>
      <c r="J769" s="57"/>
      <c r="L769" s="57"/>
      <c r="N769" s="57"/>
      <c r="T769" s="55"/>
    </row>
    <row r="770">
      <c r="A770" s="55"/>
      <c r="B770" s="55"/>
      <c r="D770" s="56"/>
      <c r="E770" s="57"/>
      <c r="H770" s="57"/>
      <c r="I770" s="57"/>
      <c r="J770" s="57"/>
      <c r="L770" s="57"/>
      <c r="N770" s="57"/>
      <c r="T770" s="55"/>
    </row>
    <row r="771">
      <c r="A771" s="55"/>
      <c r="B771" s="55"/>
      <c r="D771" s="56"/>
      <c r="E771" s="57"/>
      <c r="H771" s="57"/>
      <c r="I771" s="57"/>
      <c r="J771" s="57"/>
      <c r="L771" s="57"/>
      <c r="N771" s="57"/>
      <c r="T771" s="55"/>
    </row>
    <row r="772">
      <c r="A772" s="55"/>
      <c r="B772" s="55"/>
      <c r="D772" s="56"/>
      <c r="E772" s="57"/>
      <c r="H772" s="57"/>
      <c r="I772" s="57"/>
      <c r="J772" s="57"/>
      <c r="L772" s="57"/>
      <c r="N772" s="57"/>
      <c r="T772" s="55"/>
    </row>
    <row r="773">
      <c r="A773" s="55"/>
      <c r="B773" s="55"/>
      <c r="D773" s="56"/>
      <c r="E773" s="57"/>
      <c r="H773" s="57"/>
      <c r="I773" s="57"/>
      <c r="J773" s="57"/>
      <c r="L773" s="57"/>
      <c r="N773" s="57"/>
      <c r="T773" s="55"/>
    </row>
    <row r="774">
      <c r="A774" s="55"/>
      <c r="B774" s="55"/>
      <c r="D774" s="56"/>
      <c r="E774" s="57"/>
      <c r="H774" s="57"/>
      <c r="I774" s="57"/>
      <c r="J774" s="57"/>
      <c r="L774" s="57"/>
      <c r="N774" s="57"/>
      <c r="T774" s="55"/>
    </row>
    <row r="775">
      <c r="A775" s="55"/>
      <c r="B775" s="55"/>
      <c r="D775" s="56"/>
      <c r="E775" s="57"/>
      <c r="H775" s="57"/>
      <c r="I775" s="57"/>
      <c r="J775" s="57"/>
      <c r="L775" s="57"/>
      <c r="N775" s="57"/>
      <c r="T775" s="55"/>
    </row>
    <row r="776">
      <c r="A776" s="55"/>
      <c r="B776" s="55"/>
      <c r="D776" s="56"/>
      <c r="E776" s="57"/>
      <c r="H776" s="57"/>
      <c r="I776" s="57"/>
      <c r="J776" s="57"/>
      <c r="L776" s="57"/>
      <c r="N776" s="57"/>
      <c r="T776" s="55"/>
    </row>
    <row r="777">
      <c r="A777" s="55"/>
      <c r="B777" s="55"/>
      <c r="D777" s="56"/>
      <c r="E777" s="57"/>
      <c r="H777" s="57"/>
      <c r="I777" s="57"/>
      <c r="J777" s="57"/>
      <c r="L777" s="57"/>
      <c r="N777" s="57"/>
      <c r="T777" s="55"/>
    </row>
    <row r="778">
      <c r="A778" s="55"/>
      <c r="B778" s="55"/>
      <c r="D778" s="56"/>
      <c r="E778" s="57"/>
      <c r="H778" s="57"/>
      <c r="I778" s="57"/>
      <c r="J778" s="57"/>
      <c r="L778" s="57"/>
      <c r="N778" s="57"/>
      <c r="T778" s="55"/>
    </row>
    <row r="779">
      <c r="A779" s="55"/>
      <c r="B779" s="55"/>
      <c r="D779" s="56"/>
      <c r="E779" s="57"/>
      <c r="H779" s="57"/>
      <c r="I779" s="57"/>
      <c r="J779" s="57"/>
      <c r="L779" s="57"/>
      <c r="N779" s="57"/>
      <c r="T779" s="55"/>
    </row>
    <row r="780">
      <c r="A780" s="55"/>
      <c r="B780" s="55"/>
      <c r="D780" s="56"/>
      <c r="E780" s="57"/>
      <c r="H780" s="57"/>
      <c r="I780" s="57"/>
      <c r="J780" s="57"/>
      <c r="L780" s="57"/>
      <c r="N780" s="57"/>
      <c r="T780" s="55"/>
    </row>
    <row r="781">
      <c r="A781" s="55"/>
      <c r="B781" s="55"/>
      <c r="D781" s="56"/>
      <c r="E781" s="57"/>
      <c r="H781" s="57"/>
      <c r="I781" s="57"/>
      <c r="J781" s="57"/>
      <c r="L781" s="57"/>
      <c r="N781" s="57"/>
      <c r="T781" s="55"/>
    </row>
    <row r="782">
      <c r="A782" s="55"/>
      <c r="B782" s="55"/>
      <c r="D782" s="56"/>
      <c r="E782" s="57"/>
      <c r="H782" s="57"/>
      <c r="I782" s="57"/>
      <c r="J782" s="57"/>
      <c r="L782" s="57"/>
      <c r="N782" s="57"/>
      <c r="T782" s="55"/>
    </row>
    <row r="783">
      <c r="A783" s="55"/>
      <c r="B783" s="55"/>
      <c r="D783" s="56"/>
      <c r="E783" s="57"/>
      <c r="H783" s="57"/>
      <c r="I783" s="57"/>
      <c r="J783" s="57"/>
      <c r="L783" s="57"/>
      <c r="N783" s="57"/>
      <c r="T783" s="55"/>
    </row>
    <row r="784">
      <c r="A784" s="55"/>
      <c r="B784" s="55"/>
      <c r="D784" s="56"/>
      <c r="E784" s="57"/>
      <c r="H784" s="57"/>
      <c r="I784" s="57"/>
      <c r="J784" s="57"/>
      <c r="L784" s="57"/>
      <c r="N784" s="57"/>
      <c r="T784" s="55"/>
    </row>
    <row r="785">
      <c r="A785" s="55"/>
      <c r="B785" s="55"/>
      <c r="D785" s="56"/>
      <c r="E785" s="57"/>
      <c r="H785" s="57"/>
      <c r="I785" s="57"/>
      <c r="J785" s="57"/>
      <c r="L785" s="57"/>
      <c r="N785" s="57"/>
      <c r="T785" s="55"/>
    </row>
    <row r="786">
      <c r="A786" s="55"/>
      <c r="B786" s="55"/>
      <c r="D786" s="56"/>
      <c r="E786" s="57"/>
      <c r="H786" s="57"/>
      <c r="I786" s="57"/>
      <c r="J786" s="57"/>
      <c r="L786" s="57"/>
      <c r="N786" s="57"/>
      <c r="T786" s="55"/>
    </row>
    <row r="787">
      <c r="A787" s="55"/>
      <c r="B787" s="55"/>
      <c r="D787" s="56"/>
      <c r="E787" s="57"/>
      <c r="H787" s="57"/>
      <c r="I787" s="57"/>
      <c r="J787" s="57"/>
      <c r="L787" s="57"/>
      <c r="N787" s="57"/>
      <c r="T787" s="55"/>
    </row>
    <row r="788">
      <c r="A788" s="55"/>
      <c r="B788" s="55"/>
      <c r="D788" s="56"/>
      <c r="E788" s="57"/>
      <c r="H788" s="57"/>
      <c r="I788" s="57"/>
      <c r="J788" s="57"/>
      <c r="L788" s="57"/>
      <c r="N788" s="57"/>
      <c r="T788" s="55"/>
    </row>
    <row r="789">
      <c r="A789" s="55"/>
      <c r="B789" s="55"/>
      <c r="D789" s="56"/>
      <c r="E789" s="57"/>
      <c r="H789" s="57"/>
      <c r="I789" s="57"/>
      <c r="J789" s="57"/>
      <c r="L789" s="57"/>
      <c r="N789" s="57"/>
      <c r="T789" s="55"/>
    </row>
    <row r="790">
      <c r="A790" s="55"/>
      <c r="B790" s="55"/>
      <c r="D790" s="56"/>
      <c r="E790" s="57"/>
      <c r="H790" s="57"/>
      <c r="I790" s="57"/>
      <c r="J790" s="57"/>
      <c r="L790" s="57"/>
      <c r="N790" s="57"/>
      <c r="T790" s="55"/>
    </row>
    <row r="791">
      <c r="A791" s="55"/>
      <c r="B791" s="55"/>
      <c r="D791" s="56"/>
      <c r="E791" s="57"/>
      <c r="H791" s="57"/>
      <c r="I791" s="57"/>
      <c r="J791" s="57"/>
      <c r="L791" s="57"/>
      <c r="N791" s="57"/>
      <c r="T791" s="55"/>
    </row>
    <row r="792">
      <c r="A792" s="55"/>
      <c r="B792" s="55"/>
      <c r="D792" s="56"/>
      <c r="E792" s="57"/>
      <c r="H792" s="57"/>
      <c r="I792" s="57"/>
      <c r="J792" s="57"/>
      <c r="L792" s="57"/>
      <c r="N792" s="57"/>
      <c r="T792" s="55"/>
    </row>
    <row r="793">
      <c r="A793" s="55"/>
      <c r="B793" s="55"/>
      <c r="D793" s="56"/>
      <c r="E793" s="57"/>
      <c r="H793" s="57"/>
      <c r="I793" s="57"/>
      <c r="J793" s="57"/>
      <c r="L793" s="57"/>
      <c r="N793" s="57"/>
      <c r="T793" s="55"/>
    </row>
    <row r="794">
      <c r="A794" s="55"/>
      <c r="B794" s="55"/>
      <c r="D794" s="56"/>
      <c r="E794" s="57"/>
      <c r="H794" s="57"/>
      <c r="I794" s="57"/>
      <c r="J794" s="57"/>
      <c r="L794" s="57"/>
      <c r="N794" s="57"/>
      <c r="T794" s="55"/>
    </row>
    <row r="795">
      <c r="A795" s="55"/>
      <c r="B795" s="55"/>
      <c r="D795" s="56"/>
      <c r="E795" s="57"/>
      <c r="H795" s="57"/>
      <c r="I795" s="57"/>
      <c r="J795" s="57"/>
      <c r="L795" s="57"/>
      <c r="N795" s="57"/>
      <c r="T795" s="55"/>
    </row>
    <row r="796">
      <c r="A796" s="55"/>
      <c r="B796" s="55"/>
      <c r="D796" s="56"/>
      <c r="E796" s="57"/>
      <c r="H796" s="57"/>
      <c r="I796" s="57"/>
      <c r="J796" s="57"/>
      <c r="L796" s="57"/>
      <c r="N796" s="57"/>
      <c r="T796" s="55"/>
    </row>
    <row r="797">
      <c r="A797" s="55"/>
      <c r="B797" s="55"/>
      <c r="D797" s="56"/>
      <c r="E797" s="57"/>
      <c r="H797" s="57"/>
      <c r="I797" s="57"/>
      <c r="J797" s="57"/>
      <c r="L797" s="57"/>
      <c r="N797" s="57"/>
      <c r="T797" s="55"/>
    </row>
    <row r="798">
      <c r="A798" s="55"/>
      <c r="B798" s="55"/>
      <c r="D798" s="56"/>
      <c r="E798" s="57"/>
      <c r="H798" s="57"/>
      <c r="I798" s="57"/>
      <c r="J798" s="57"/>
      <c r="L798" s="57"/>
      <c r="N798" s="57"/>
      <c r="T798" s="55"/>
    </row>
    <row r="799">
      <c r="A799" s="55"/>
      <c r="B799" s="55"/>
      <c r="D799" s="56"/>
      <c r="E799" s="57"/>
      <c r="H799" s="57"/>
      <c r="I799" s="57"/>
      <c r="J799" s="57"/>
      <c r="L799" s="57"/>
      <c r="N799" s="57"/>
      <c r="T799" s="55"/>
    </row>
    <row r="800">
      <c r="A800" s="55"/>
      <c r="B800" s="55"/>
      <c r="D800" s="56"/>
      <c r="E800" s="57"/>
      <c r="H800" s="57"/>
      <c r="I800" s="57"/>
      <c r="J800" s="57"/>
      <c r="L800" s="57"/>
      <c r="N800" s="57"/>
      <c r="T800" s="55"/>
    </row>
    <row r="801">
      <c r="A801" s="55"/>
      <c r="B801" s="55"/>
      <c r="D801" s="56"/>
      <c r="E801" s="57"/>
      <c r="H801" s="57"/>
      <c r="I801" s="57"/>
      <c r="J801" s="57"/>
      <c r="L801" s="57"/>
      <c r="N801" s="57"/>
      <c r="T801" s="55"/>
    </row>
    <row r="802">
      <c r="A802" s="55"/>
      <c r="B802" s="55"/>
      <c r="D802" s="56"/>
      <c r="E802" s="57"/>
      <c r="H802" s="57"/>
      <c r="I802" s="57"/>
      <c r="J802" s="57"/>
      <c r="L802" s="57"/>
      <c r="N802" s="57"/>
      <c r="T802" s="55"/>
    </row>
    <row r="803">
      <c r="A803" s="55"/>
      <c r="B803" s="55"/>
      <c r="D803" s="56"/>
      <c r="E803" s="57"/>
      <c r="H803" s="57"/>
      <c r="I803" s="57"/>
      <c r="J803" s="57"/>
      <c r="L803" s="57"/>
      <c r="N803" s="57"/>
      <c r="T803" s="55"/>
    </row>
    <row r="804">
      <c r="A804" s="55"/>
      <c r="B804" s="55"/>
      <c r="D804" s="56"/>
      <c r="E804" s="57"/>
      <c r="H804" s="57"/>
      <c r="I804" s="57"/>
      <c r="J804" s="57"/>
      <c r="L804" s="57"/>
      <c r="N804" s="57"/>
      <c r="T804" s="55"/>
    </row>
    <row r="805">
      <c r="A805" s="55"/>
      <c r="B805" s="55"/>
      <c r="D805" s="56"/>
      <c r="E805" s="57"/>
      <c r="H805" s="57"/>
      <c r="I805" s="57"/>
      <c r="J805" s="57"/>
      <c r="L805" s="57"/>
      <c r="N805" s="57"/>
      <c r="T805" s="55"/>
    </row>
    <row r="806">
      <c r="A806" s="55"/>
      <c r="B806" s="55"/>
      <c r="D806" s="56"/>
      <c r="E806" s="57"/>
      <c r="H806" s="57"/>
      <c r="I806" s="57"/>
      <c r="J806" s="57"/>
      <c r="L806" s="57"/>
      <c r="N806" s="57"/>
      <c r="T806" s="55"/>
    </row>
    <row r="807">
      <c r="A807" s="55"/>
      <c r="B807" s="55"/>
      <c r="D807" s="56"/>
      <c r="E807" s="57"/>
      <c r="H807" s="57"/>
      <c r="I807" s="57"/>
      <c r="J807" s="57"/>
      <c r="L807" s="57"/>
      <c r="N807" s="57"/>
      <c r="T807" s="55"/>
    </row>
    <row r="808">
      <c r="A808" s="55"/>
      <c r="B808" s="55"/>
      <c r="D808" s="56"/>
      <c r="E808" s="57"/>
      <c r="H808" s="57"/>
      <c r="I808" s="57"/>
      <c r="J808" s="57"/>
      <c r="L808" s="57"/>
      <c r="N808" s="57"/>
      <c r="T808" s="55"/>
    </row>
    <row r="809">
      <c r="A809" s="55"/>
      <c r="B809" s="55"/>
      <c r="D809" s="56"/>
      <c r="E809" s="57"/>
      <c r="H809" s="57"/>
      <c r="I809" s="57"/>
      <c r="J809" s="57"/>
      <c r="L809" s="57"/>
      <c r="N809" s="57"/>
      <c r="T809" s="55"/>
    </row>
    <row r="810">
      <c r="A810" s="55"/>
      <c r="B810" s="55"/>
      <c r="D810" s="56"/>
      <c r="E810" s="57"/>
      <c r="H810" s="57"/>
      <c r="I810" s="57"/>
      <c r="J810" s="57"/>
      <c r="L810" s="57"/>
      <c r="N810" s="57"/>
      <c r="T810" s="55"/>
    </row>
    <row r="811">
      <c r="A811" s="55"/>
      <c r="B811" s="55"/>
      <c r="D811" s="56"/>
      <c r="E811" s="57"/>
      <c r="H811" s="57"/>
      <c r="I811" s="57"/>
      <c r="J811" s="57"/>
      <c r="L811" s="57"/>
      <c r="N811" s="57"/>
      <c r="T811" s="55"/>
    </row>
    <row r="812">
      <c r="A812" s="55"/>
      <c r="B812" s="55"/>
      <c r="D812" s="56"/>
      <c r="E812" s="57"/>
      <c r="H812" s="57"/>
      <c r="I812" s="57"/>
      <c r="J812" s="57"/>
      <c r="L812" s="57"/>
      <c r="N812" s="57"/>
      <c r="T812" s="55"/>
    </row>
    <row r="813">
      <c r="A813" s="55"/>
      <c r="B813" s="55"/>
      <c r="D813" s="56"/>
      <c r="E813" s="57"/>
      <c r="H813" s="57"/>
      <c r="I813" s="57"/>
      <c r="J813" s="57"/>
      <c r="L813" s="57"/>
      <c r="N813" s="57"/>
      <c r="T813" s="55"/>
    </row>
    <row r="814">
      <c r="A814" s="55"/>
      <c r="B814" s="55"/>
      <c r="D814" s="56"/>
      <c r="E814" s="57"/>
      <c r="H814" s="57"/>
      <c r="I814" s="57"/>
      <c r="J814" s="57"/>
      <c r="L814" s="57"/>
      <c r="N814" s="57"/>
      <c r="T814" s="55"/>
    </row>
    <row r="815">
      <c r="A815" s="55"/>
      <c r="B815" s="55"/>
      <c r="D815" s="56"/>
      <c r="E815" s="57"/>
      <c r="H815" s="57"/>
      <c r="I815" s="57"/>
      <c r="J815" s="57"/>
      <c r="L815" s="57"/>
      <c r="N815" s="57"/>
      <c r="T815" s="55"/>
    </row>
    <row r="816">
      <c r="A816" s="55"/>
      <c r="B816" s="55"/>
      <c r="D816" s="56"/>
      <c r="E816" s="57"/>
      <c r="H816" s="57"/>
      <c r="I816" s="57"/>
      <c r="J816" s="57"/>
      <c r="L816" s="57"/>
      <c r="N816" s="57"/>
      <c r="T816" s="55"/>
    </row>
    <row r="817">
      <c r="A817" s="55"/>
      <c r="B817" s="55"/>
      <c r="D817" s="56"/>
      <c r="E817" s="57"/>
      <c r="H817" s="57"/>
      <c r="I817" s="57"/>
      <c r="J817" s="57"/>
      <c r="L817" s="57"/>
      <c r="N817" s="57"/>
      <c r="T817" s="55"/>
    </row>
    <row r="818">
      <c r="A818" s="55"/>
      <c r="B818" s="55"/>
      <c r="D818" s="56"/>
      <c r="E818" s="57"/>
      <c r="H818" s="57"/>
      <c r="I818" s="57"/>
      <c r="J818" s="57"/>
      <c r="L818" s="57"/>
      <c r="N818" s="57"/>
      <c r="T818" s="55"/>
    </row>
    <row r="819">
      <c r="A819" s="55"/>
      <c r="B819" s="55"/>
      <c r="D819" s="56"/>
      <c r="E819" s="57"/>
      <c r="H819" s="57"/>
      <c r="I819" s="57"/>
      <c r="J819" s="57"/>
      <c r="L819" s="57"/>
      <c r="N819" s="57"/>
      <c r="T819" s="55"/>
    </row>
    <row r="820">
      <c r="A820" s="55"/>
      <c r="B820" s="55"/>
      <c r="D820" s="56"/>
      <c r="E820" s="57"/>
      <c r="H820" s="57"/>
      <c r="I820" s="57"/>
      <c r="J820" s="57"/>
      <c r="L820" s="57"/>
      <c r="N820" s="57"/>
      <c r="T820" s="55"/>
    </row>
    <row r="821">
      <c r="A821" s="55"/>
      <c r="B821" s="55"/>
      <c r="D821" s="56"/>
      <c r="E821" s="57"/>
      <c r="H821" s="57"/>
      <c r="I821" s="57"/>
      <c r="J821" s="57"/>
      <c r="L821" s="57"/>
      <c r="N821" s="57"/>
      <c r="T821" s="55"/>
    </row>
    <row r="822">
      <c r="A822" s="55"/>
      <c r="B822" s="55"/>
      <c r="D822" s="56"/>
      <c r="E822" s="57"/>
      <c r="H822" s="57"/>
      <c r="I822" s="57"/>
      <c r="J822" s="57"/>
      <c r="L822" s="57"/>
      <c r="N822" s="57"/>
      <c r="T822" s="55"/>
    </row>
    <row r="823">
      <c r="A823" s="55"/>
      <c r="B823" s="55"/>
      <c r="D823" s="56"/>
      <c r="E823" s="57"/>
      <c r="H823" s="57"/>
      <c r="I823" s="57"/>
      <c r="J823" s="57"/>
      <c r="L823" s="57"/>
      <c r="N823" s="57"/>
      <c r="T823" s="55"/>
    </row>
    <row r="824">
      <c r="A824" s="55"/>
      <c r="B824" s="55"/>
      <c r="D824" s="56"/>
      <c r="E824" s="57"/>
      <c r="H824" s="57"/>
      <c r="I824" s="57"/>
      <c r="J824" s="57"/>
      <c r="L824" s="57"/>
      <c r="N824" s="57"/>
      <c r="T824" s="55"/>
    </row>
    <row r="825">
      <c r="A825" s="55"/>
      <c r="B825" s="55"/>
      <c r="D825" s="56"/>
      <c r="E825" s="57"/>
      <c r="H825" s="57"/>
      <c r="I825" s="57"/>
      <c r="J825" s="57"/>
      <c r="L825" s="57"/>
      <c r="N825" s="57"/>
      <c r="T825" s="55"/>
    </row>
    <row r="826">
      <c r="A826" s="55"/>
      <c r="B826" s="55"/>
      <c r="D826" s="56"/>
      <c r="E826" s="57"/>
      <c r="H826" s="57"/>
      <c r="I826" s="57"/>
      <c r="J826" s="57"/>
      <c r="L826" s="57"/>
      <c r="N826" s="57"/>
      <c r="T826" s="55"/>
    </row>
    <row r="827">
      <c r="A827" s="55"/>
      <c r="B827" s="55"/>
      <c r="D827" s="56"/>
      <c r="E827" s="57"/>
      <c r="H827" s="57"/>
      <c r="I827" s="57"/>
      <c r="J827" s="57"/>
      <c r="L827" s="57"/>
      <c r="N827" s="57"/>
      <c r="T827" s="55"/>
    </row>
    <row r="828">
      <c r="A828" s="55"/>
      <c r="B828" s="55"/>
      <c r="D828" s="56"/>
      <c r="E828" s="57"/>
      <c r="H828" s="57"/>
      <c r="I828" s="57"/>
      <c r="J828" s="57"/>
      <c r="L828" s="57"/>
      <c r="N828" s="57"/>
      <c r="T828" s="55"/>
    </row>
    <row r="829">
      <c r="A829" s="55"/>
      <c r="B829" s="55"/>
      <c r="D829" s="56"/>
      <c r="E829" s="57"/>
      <c r="H829" s="57"/>
      <c r="I829" s="57"/>
      <c r="J829" s="57"/>
      <c r="L829" s="57"/>
      <c r="N829" s="57"/>
      <c r="T829" s="55"/>
    </row>
    <row r="830">
      <c r="A830" s="55"/>
      <c r="B830" s="55"/>
      <c r="D830" s="56"/>
      <c r="E830" s="57"/>
      <c r="H830" s="57"/>
      <c r="I830" s="57"/>
      <c r="J830" s="57"/>
      <c r="L830" s="57"/>
      <c r="N830" s="57"/>
      <c r="T830" s="55"/>
    </row>
    <row r="831">
      <c r="A831" s="55"/>
      <c r="B831" s="55"/>
      <c r="D831" s="56"/>
      <c r="E831" s="57"/>
      <c r="H831" s="57"/>
      <c r="I831" s="57"/>
      <c r="J831" s="57"/>
      <c r="L831" s="57"/>
      <c r="N831" s="57"/>
      <c r="T831" s="55"/>
    </row>
    <row r="832">
      <c r="A832" s="55"/>
      <c r="B832" s="55"/>
      <c r="D832" s="56"/>
      <c r="E832" s="57"/>
      <c r="H832" s="57"/>
      <c r="I832" s="57"/>
      <c r="J832" s="57"/>
      <c r="L832" s="57"/>
      <c r="N832" s="57"/>
      <c r="T832" s="55"/>
    </row>
    <row r="833">
      <c r="A833" s="55"/>
      <c r="B833" s="55"/>
      <c r="D833" s="56"/>
      <c r="E833" s="57"/>
      <c r="H833" s="57"/>
      <c r="I833" s="57"/>
      <c r="J833" s="57"/>
      <c r="L833" s="57"/>
      <c r="N833" s="57"/>
      <c r="T833" s="55"/>
    </row>
    <row r="834">
      <c r="A834" s="55"/>
      <c r="B834" s="55"/>
      <c r="D834" s="56"/>
      <c r="E834" s="57"/>
      <c r="H834" s="57"/>
      <c r="I834" s="57"/>
      <c r="J834" s="57"/>
      <c r="L834" s="57"/>
      <c r="N834" s="57"/>
      <c r="T834" s="55"/>
    </row>
    <row r="835">
      <c r="A835" s="55"/>
      <c r="B835" s="55"/>
      <c r="D835" s="56"/>
      <c r="E835" s="57"/>
      <c r="H835" s="57"/>
      <c r="I835" s="57"/>
      <c r="J835" s="57"/>
      <c r="L835" s="57"/>
      <c r="N835" s="57"/>
      <c r="T835" s="55"/>
    </row>
    <row r="836">
      <c r="A836" s="55"/>
      <c r="B836" s="55"/>
      <c r="D836" s="56"/>
      <c r="E836" s="57"/>
      <c r="H836" s="57"/>
      <c r="I836" s="57"/>
      <c r="J836" s="57"/>
      <c r="L836" s="57"/>
      <c r="N836" s="57"/>
      <c r="T836" s="55"/>
    </row>
    <row r="837">
      <c r="A837" s="55"/>
      <c r="B837" s="55"/>
      <c r="D837" s="56"/>
      <c r="E837" s="57"/>
      <c r="H837" s="57"/>
      <c r="I837" s="57"/>
      <c r="J837" s="57"/>
      <c r="L837" s="57"/>
      <c r="N837" s="57"/>
      <c r="T837" s="55"/>
    </row>
    <row r="838">
      <c r="A838" s="55"/>
      <c r="B838" s="55"/>
      <c r="D838" s="56"/>
      <c r="E838" s="57"/>
      <c r="H838" s="57"/>
      <c r="I838" s="57"/>
      <c r="J838" s="57"/>
      <c r="L838" s="57"/>
      <c r="N838" s="57"/>
      <c r="T838" s="55"/>
    </row>
    <row r="839">
      <c r="A839" s="55"/>
      <c r="B839" s="55"/>
      <c r="D839" s="56"/>
      <c r="E839" s="57"/>
      <c r="H839" s="57"/>
      <c r="I839" s="57"/>
      <c r="J839" s="57"/>
      <c r="L839" s="57"/>
      <c r="N839" s="57"/>
      <c r="T839" s="55"/>
    </row>
    <row r="840">
      <c r="A840" s="55"/>
      <c r="B840" s="55"/>
      <c r="D840" s="56"/>
      <c r="E840" s="57"/>
      <c r="H840" s="57"/>
      <c r="I840" s="57"/>
      <c r="J840" s="57"/>
      <c r="L840" s="57"/>
      <c r="N840" s="57"/>
      <c r="T840" s="55"/>
    </row>
    <row r="841">
      <c r="A841" s="55"/>
      <c r="B841" s="55"/>
      <c r="D841" s="56"/>
      <c r="E841" s="57"/>
      <c r="H841" s="57"/>
      <c r="I841" s="57"/>
      <c r="J841" s="57"/>
      <c r="L841" s="57"/>
      <c r="N841" s="57"/>
      <c r="T841" s="55"/>
    </row>
    <row r="842">
      <c r="A842" s="55"/>
      <c r="B842" s="55"/>
      <c r="D842" s="56"/>
      <c r="E842" s="57"/>
      <c r="H842" s="57"/>
      <c r="I842" s="57"/>
      <c r="J842" s="57"/>
      <c r="L842" s="57"/>
      <c r="N842" s="57"/>
      <c r="T842" s="55"/>
    </row>
    <row r="843">
      <c r="A843" s="55"/>
      <c r="B843" s="55"/>
      <c r="D843" s="56"/>
      <c r="E843" s="57"/>
      <c r="H843" s="57"/>
      <c r="I843" s="57"/>
      <c r="J843" s="57"/>
      <c r="L843" s="57"/>
      <c r="N843" s="57"/>
      <c r="T843" s="55"/>
    </row>
    <row r="844">
      <c r="A844" s="55"/>
      <c r="B844" s="55"/>
      <c r="D844" s="56"/>
      <c r="E844" s="57"/>
      <c r="H844" s="57"/>
      <c r="I844" s="57"/>
      <c r="J844" s="57"/>
      <c r="L844" s="57"/>
      <c r="N844" s="57"/>
      <c r="T844" s="55"/>
    </row>
    <row r="845">
      <c r="A845" s="55"/>
      <c r="B845" s="55"/>
      <c r="D845" s="56"/>
      <c r="E845" s="57"/>
      <c r="H845" s="57"/>
      <c r="I845" s="57"/>
      <c r="J845" s="57"/>
      <c r="L845" s="57"/>
      <c r="N845" s="57"/>
      <c r="T845" s="55"/>
    </row>
    <row r="846">
      <c r="A846" s="55"/>
      <c r="B846" s="55"/>
      <c r="D846" s="56"/>
      <c r="E846" s="57"/>
      <c r="H846" s="57"/>
      <c r="I846" s="57"/>
      <c r="J846" s="57"/>
      <c r="L846" s="57"/>
      <c r="N846" s="57"/>
      <c r="T846" s="55"/>
    </row>
    <row r="847">
      <c r="A847" s="55"/>
      <c r="B847" s="55"/>
      <c r="D847" s="56"/>
      <c r="E847" s="57"/>
      <c r="H847" s="57"/>
      <c r="I847" s="57"/>
      <c r="J847" s="57"/>
      <c r="L847" s="57"/>
      <c r="N847" s="57"/>
      <c r="T847" s="55"/>
    </row>
    <row r="848">
      <c r="A848" s="55"/>
      <c r="B848" s="55"/>
      <c r="D848" s="56"/>
      <c r="E848" s="57"/>
      <c r="H848" s="57"/>
      <c r="I848" s="57"/>
      <c r="J848" s="57"/>
      <c r="L848" s="57"/>
      <c r="N848" s="57"/>
      <c r="T848" s="55"/>
    </row>
    <row r="849">
      <c r="A849" s="55"/>
      <c r="B849" s="55"/>
      <c r="D849" s="56"/>
      <c r="E849" s="57"/>
      <c r="H849" s="57"/>
      <c r="I849" s="57"/>
      <c r="J849" s="57"/>
      <c r="L849" s="57"/>
      <c r="N849" s="57"/>
      <c r="T849" s="55"/>
    </row>
    <row r="850">
      <c r="A850" s="55"/>
      <c r="B850" s="55"/>
      <c r="D850" s="56"/>
      <c r="E850" s="57"/>
      <c r="H850" s="57"/>
      <c r="I850" s="57"/>
      <c r="J850" s="57"/>
      <c r="L850" s="57"/>
      <c r="N850" s="57"/>
      <c r="T850" s="55"/>
    </row>
    <row r="851">
      <c r="A851" s="55"/>
      <c r="B851" s="55"/>
      <c r="D851" s="56"/>
      <c r="E851" s="57"/>
      <c r="H851" s="57"/>
      <c r="I851" s="57"/>
      <c r="J851" s="57"/>
      <c r="L851" s="57"/>
      <c r="N851" s="57"/>
      <c r="T851" s="55"/>
    </row>
    <row r="852">
      <c r="A852" s="55"/>
      <c r="B852" s="55"/>
      <c r="D852" s="56"/>
      <c r="E852" s="57"/>
      <c r="H852" s="57"/>
      <c r="I852" s="57"/>
      <c r="J852" s="57"/>
      <c r="L852" s="57"/>
      <c r="N852" s="57"/>
      <c r="T852" s="55"/>
    </row>
    <row r="853">
      <c r="A853" s="55"/>
      <c r="B853" s="55"/>
      <c r="D853" s="56"/>
      <c r="E853" s="57"/>
      <c r="H853" s="57"/>
      <c r="I853" s="57"/>
      <c r="J853" s="57"/>
      <c r="L853" s="57"/>
      <c r="N853" s="57"/>
      <c r="T853" s="55"/>
    </row>
    <row r="854">
      <c r="A854" s="55"/>
      <c r="B854" s="55"/>
      <c r="D854" s="56"/>
      <c r="E854" s="57"/>
      <c r="H854" s="57"/>
      <c r="I854" s="57"/>
      <c r="J854" s="57"/>
      <c r="L854" s="57"/>
      <c r="N854" s="57"/>
      <c r="T854" s="55"/>
    </row>
    <row r="855">
      <c r="A855" s="55"/>
      <c r="B855" s="55"/>
      <c r="D855" s="56"/>
      <c r="E855" s="57"/>
      <c r="H855" s="57"/>
      <c r="I855" s="57"/>
      <c r="J855" s="57"/>
      <c r="L855" s="57"/>
      <c r="N855" s="57"/>
      <c r="T855" s="55"/>
    </row>
    <row r="856">
      <c r="A856" s="55"/>
      <c r="B856" s="55"/>
      <c r="D856" s="56"/>
      <c r="E856" s="57"/>
      <c r="H856" s="57"/>
      <c r="I856" s="57"/>
      <c r="J856" s="57"/>
      <c r="L856" s="57"/>
      <c r="N856" s="57"/>
      <c r="T856" s="55"/>
    </row>
    <row r="857">
      <c r="A857" s="55"/>
      <c r="B857" s="55"/>
      <c r="D857" s="56"/>
      <c r="E857" s="57"/>
      <c r="H857" s="57"/>
      <c r="I857" s="57"/>
      <c r="J857" s="57"/>
      <c r="L857" s="57"/>
      <c r="N857" s="57"/>
      <c r="T857" s="55"/>
    </row>
    <row r="858">
      <c r="A858" s="55"/>
      <c r="B858" s="55"/>
      <c r="D858" s="56"/>
      <c r="E858" s="57"/>
      <c r="H858" s="57"/>
      <c r="I858" s="57"/>
      <c r="J858" s="57"/>
      <c r="L858" s="57"/>
      <c r="N858" s="57"/>
      <c r="T858" s="55"/>
    </row>
    <row r="859">
      <c r="A859" s="55"/>
      <c r="B859" s="55"/>
      <c r="D859" s="56"/>
      <c r="E859" s="57"/>
      <c r="H859" s="57"/>
      <c r="I859" s="57"/>
      <c r="J859" s="57"/>
      <c r="L859" s="57"/>
      <c r="N859" s="57"/>
      <c r="T859" s="55"/>
    </row>
    <row r="860">
      <c r="A860" s="55"/>
      <c r="B860" s="55"/>
      <c r="D860" s="56"/>
      <c r="E860" s="57"/>
      <c r="H860" s="57"/>
      <c r="I860" s="57"/>
      <c r="J860" s="57"/>
      <c r="L860" s="57"/>
      <c r="N860" s="57"/>
      <c r="T860" s="55"/>
    </row>
    <row r="861">
      <c r="A861" s="55"/>
      <c r="B861" s="55"/>
      <c r="D861" s="56"/>
      <c r="E861" s="57"/>
      <c r="H861" s="57"/>
      <c r="I861" s="57"/>
      <c r="J861" s="57"/>
      <c r="L861" s="57"/>
      <c r="N861" s="57"/>
      <c r="T861" s="55"/>
    </row>
    <row r="862">
      <c r="A862" s="55"/>
      <c r="B862" s="55"/>
      <c r="D862" s="56"/>
      <c r="E862" s="57"/>
      <c r="H862" s="57"/>
      <c r="I862" s="57"/>
      <c r="J862" s="57"/>
      <c r="L862" s="57"/>
      <c r="N862" s="57"/>
      <c r="T862" s="55"/>
    </row>
    <row r="863">
      <c r="A863" s="55"/>
      <c r="B863" s="55"/>
      <c r="D863" s="56"/>
      <c r="E863" s="57"/>
      <c r="H863" s="57"/>
      <c r="I863" s="57"/>
      <c r="J863" s="57"/>
      <c r="L863" s="57"/>
      <c r="N863" s="57"/>
      <c r="T863" s="55"/>
    </row>
    <row r="864">
      <c r="A864" s="55"/>
      <c r="B864" s="55"/>
      <c r="D864" s="56"/>
      <c r="E864" s="57"/>
      <c r="H864" s="57"/>
      <c r="I864" s="57"/>
      <c r="J864" s="57"/>
      <c r="L864" s="57"/>
      <c r="N864" s="57"/>
      <c r="T864" s="55"/>
    </row>
    <row r="865">
      <c r="A865" s="55"/>
      <c r="B865" s="55"/>
      <c r="D865" s="56"/>
      <c r="E865" s="57"/>
      <c r="H865" s="57"/>
      <c r="I865" s="57"/>
      <c r="J865" s="57"/>
      <c r="L865" s="57"/>
      <c r="N865" s="57"/>
      <c r="T865" s="55"/>
    </row>
    <row r="866">
      <c r="A866" s="55"/>
      <c r="B866" s="55"/>
      <c r="D866" s="56"/>
      <c r="E866" s="57"/>
      <c r="H866" s="57"/>
      <c r="I866" s="57"/>
      <c r="J866" s="57"/>
      <c r="L866" s="57"/>
      <c r="N866" s="57"/>
      <c r="T866" s="55"/>
    </row>
    <row r="867">
      <c r="A867" s="55"/>
      <c r="B867" s="55"/>
      <c r="D867" s="56"/>
      <c r="E867" s="57"/>
      <c r="H867" s="57"/>
      <c r="I867" s="57"/>
      <c r="J867" s="57"/>
      <c r="L867" s="57"/>
      <c r="N867" s="57"/>
      <c r="T867" s="55"/>
    </row>
    <row r="868">
      <c r="A868" s="55"/>
      <c r="B868" s="55"/>
      <c r="D868" s="56"/>
      <c r="E868" s="57"/>
      <c r="H868" s="57"/>
      <c r="I868" s="57"/>
      <c r="J868" s="57"/>
      <c r="L868" s="57"/>
      <c r="N868" s="57"/>
      <c r="T868" s="55"/>
    </row>
    <row r="869">
      <c r="A869" s="55"/>
      <c r="B869" s="55"/>
      <c r="D869" s="56"/>
      <c r="E869" s="57"/>
      <c r="H869" s="57"/>
      <c r="I869" s="57"/>
      <c r="J869" s="57"/>
      <c r="L869" s="57"/>
      <c r="N869" s="57"/>
      <c r="T869" s="55"/>
    </row>
    <row r="870">
      <c r="A870" s="55"/>
      <c r="B870" s="55"/>
      <c r="D870" s="56"/>
      <c r="E870" s="57"/>
      <c r="H870" s="57"/>
      <c r="I870" s="57"/>
      <c r="J870" s="57"/>
      <c r="L870" s="57"/>
      <c r="N870" s="57"/>
      <c r="T870" s="55"/>
    </row>
    <row r="871">
      <c r="A871" s="55"/>
      <c r="B871" s="55"/>
      <c r="D871" s="56"/>
      <c r="E871" s="57"/>
      <c r="H871" s="57"/>
      <c r="I871" s="57"/>
      <c r="J871" s="57"/>
      <c r="L871" s="57"/>
      <c r="N871" s="57"/>
      <c r="T871" s="55"/>
    </row>
    <row r="872">
      <c r="A872" s="55"/>
      <c r="B872" s="55"/>
      <c r="D872" s="56"/>
      <c r="E872" s="57"/>
      <c r="H872" s="57"/>
      <c r="I872" s="57"/>
      <c r="J872" s="57"/>
      <c r="L872" s="57"/>
      <c r="N872" s="57"/>
      <c r="T872" s="55"/>
    </row>
    <row r="873">
      <c r="A873" s="55"/>
      <c r="B873" s="55"/>
      <c r="D873" s="56"/>
      <c r="E873" s="57"/>
      <c r="H873" s="57"/>
      <c r="I873" s="57"/>
      <c r="J873" s="57"/>
      <c r="L873" s="57"/>
      <c r="N873" s="57"/>
      <c r="T873" s="55"/>
    </row>
    <row r="874">
      <c r="A874" s="55"/>
      <c r="B874" s="55"/>
      <c r="D874" s="56"/>
      <c r="E874" s="57"/>
      <c r="H874" s="57"/>
      <c r="I874" s="57"/>
      <c r="J874" s="57"/>
      <c r="L874" s="57"/>
      <c r="N874" s="57"/>
      <c r="T874" s="55"/>
    </row>
    <row r="875">
      <c r="A875" s="55"/>
      <c r="B875" s="55"/>
      <c r="D875" s="56"/>
      <c r="E875" s="57"/>
      <c r="H875" s="57"/>
      <c r="I875" s="57"/>
      <c r="J875" s="57"/>
      <c r="L875" s="57"/>
      <c r="N875" s="57"/>
      <c r="T875" s="55"/>
    </row>
    <row r="876">
      <c r="A876" s="55"/>
      <c r="B876" s="55"/>
      <c r="D876" s="56"/>
      <c r="E876" s="57"/>
      <c r="H876" s="57"/>
      <c r="I876" s="57"/>
      <c r="J876" s="57"/>
      <c r="L876" s="57"/>
      <c r="N876" s="57"/>
      <c r="T876" s="55"/>
    </row>
    <row r="877">
      <c r="A877" s="55"/>
      <c r="B877" s="55"/>
      <c r="D877" s="56"/>
      <c r="E877" s="57"/>
      <c r="H877" s="57"/>
      <c r="I877" s="57"/>
      <c r="J877" s="57"/>
      <c r="L877" s="57"/>
      <c r="N877" s="57"/>
      <c r="T877" s="55"/>
    </row>
    <row r="878">
      <c r="A878" s="55"/>
      <c r="B878" s="55"/>
      <c r="D878" s="56"/>
      <c r="E878" s="57"/>
      <c r="H878" s="57"/>
      <c r="I878" s="57"/>
      <c r="J878" s="57"/>
      <c r="L878" s="57"/>
      <c r="N878" s="57"/>
      <c r="T878" s="55"/>
    </row>
    <row r="879">
      <c r="A879" s="55"/>
      <c r="B879" s="55"/>
      <c r="D879" s="56"/>
      <c r="E879" s="57"/>
      <c r="H879" s="57"/>
      <c r="I879" s="57"/>
      <c r="J879" s="57"/>
      <c r="L879" s="57"/>
      <c r="N879" s="57"/>
      <c r="T879" s="55"/>
    </row>
    <row r="880">
      <c r="A880" s="55"/>
      <c r="B880" s="55"/>
      <c r="D880" s="56"/>
      <c r="E880" s="57"/>
      <c r="H880" s="57"/>
      <c r="I880" s="57"/>
      <c r="J880" s="57"/>
      <c r="L880" s="57"/>
      <c r="N880" s="57"/>
      <c r="T880" s="55"/>
    </row>
    <row r="881">
      <c r="A881" s="55"/>
      <c r="B881" s="55"/>
      <c r="D881" s="56"/>
      <c r="E881" s="57"/>
      <c r="H881" s="57"/>
      <c r="I881" s="57"/>
      <c r="J881" s="57"/>
      <c r="L881" s="57"/>
      <c r="N881" s="57"/>
      <c r="T881" s="55"/>
    </row>
    <row r="882">
      <c r="A882" s="55"/>
      <c r="B882" s="55"/>
      <c r="D882" s="56"/>
      <c r="E882" s="57"/>
      <c r="H882" s="57"/>
      <c r="I882" s="57"/>
      <c r="J882" s="57"/>
      <c r="L882" s="57"/>
      <c r="N882" s="57"/>
      <c r="T882" s="55"/>
    </row>
    <row r="883">
      <c r="A883" s="55"/>
      <c r="B883" s="55"/>
      <c r="D883" s="56"/>
      <c r="E883" s="57"/>
      <c r="H883" s="57"/>
      <c r="I883" s="57"/>
      <c r="J883" s="57"/>
      <c r="L883" s="57"/>
      <c r="N883" s="57"/>
      <c r="T883" s="55"/>
    </row>
    <row r="884">
      <c r="A884" s="55"/>
      <c r="B884" s="55"/>
      <c r="D884" s="56"/>
      <c r="E884" s="57"/>
      <c r="H884" s="57"/>
      <c r="I884" s="57"/>
      <c r="J884" s="57"/>
      <c r="L884" s="57"/>
      <c r="N884" s="57"/>
      <c r="T884" s="55"/>
    </row>
    <row r="885">
      <c r="A885" s="55"/>
      <c r="B885" s="55"/>
      <c r="D885" s="56"/>
      <c r="E885" s="57"/>
      <c r="H885" s="57"/>
      <c r="I885" s="57"/>
      <c r="J885" s="57"/>
      <c r="L885" s="57"/>
      <c r="N885" s="57"/>
      <c r="T885" s="55"/>
    </row>
    <row r="886">
      <c r="A886" s="55"/>
      <c r="B886" s="55"/>
      <c r="D886" s="56"/>
      <c r="E886" s="57"/>
      <c r="H886" s="57"/>
      <c r="I886" s="57"/>
      <c r="J886" s="57"/>
      <c r="L886" s="57"/>
      <c r="N886" s="57"/>
      <c r="T886" s="55"/>
    </row>
    <row r="887">
      <c r="A887" s="55"/>
      <c r="B887" s="55"/>
      <c r="D887" s="56"/>
      <c r="E887" s="57"/>
      <c r="H887" s="57"/>
      <c r="I887" s="57"/>
      <c r="J887" s="57"/>
      <c r="L887" s="57"/>
      <c r="N887" s="57"/>
      <c r="T887" s="55"/>
    </row>
    <row r="888">
      <c r="A888" s="55"/>
      <c r="B888" s="55"/>
      <c r="D888" s="56"/>
      <c r="E888" s="57"/>
      <c r="H888" s="57"/>
      <c r="I888" s="57"/>
      <c r="J888" s="57"/>
      <c r="L888" s="57"/>
      <c r="N888" s="57"/>
      <c r="T888" s="55"/>
    </row>
    <row r="889">
      <c r="A889" s="55"/>
      <c r="B889" s="55"/>
      <c r="D889" s="56"/>
      <c r="E889" s="57"/>
      <c r="H889" s="57"/>
      <c r="I889" s="57"/>
      <c r="J889" s="57"/>
      <c r="L889" s="57"/>
      <c r="N889" s="57"/>
      <c r="T889" s="55"/>
    </row>
    <row r="890">
      <c r="A890" s="55"/>
      <c r="B890" s="55"/>
      <c r="D890" s="56"/>
      <c r="E890" s="57"/>
      <c r="H890" s="57"/>
      <c r="I890" s="57"/>
      <c r="J890" s="57"/>
      <c r="L890" s="57"/>
      <c r="N890" s="57"/>
      <c r="T890" s="55"/>
    </row>
    <row r="891">
      <c r="A891" s="55"/>
      <c r="B891" s="55"/>
      <c r="D891" s="56"/>
      <c r="E891" s="57"/>
      <c r="H891" s="57"/>
      <c r="I891" s="57"/>
      <c r="J891" s="57"/>
      <c r="L891" s="57"/>
      <c r="N891" s="57"/>
      <c r="T891" s="55"/>
    </row>
    <row r="892">
      <c r="A892" s="55"/>
      <c r="B892" s="55"/>
      <c r="D892" s="56"/>
      <c r="E892" s="57"/>
      <c r="H892" s="57"/>
      <c r="I892" s="57"/>
      <c r="J892" s="57"/>
      <c r="L892" s="57"/>
      <c r="N892" s="57"/>
      <c r="T892" s="55"/>
    </row>
    <row r="893">
      <c r="A893" s="55"/>
      <c r="B893" s="55"/>
      <c r="D893" s="56"/>
      <c r="E893" s="57"/>
      <c r="H893" s="57"/>
      <c r="I893" s="57"/>
      <c r="J893" s="57"/>
      <c r="L893" s="57"/>
      <c r="N893" s="57"/>
      <c r="T893" s="55"/>
    </row>
    <row r="894">
      <c r="A894" s="55"/>
      <c r="B894" s="55"/>
      <c r="D894" s="56"/>
      <c r="E894" s="57"/>
      <c r="H894" s="57"/>
      <c r="I894" s="57"/>
      <c r="J894" s="57"/>
      <c r="L894" s="57"/>
      <c r="N894" s="57"/>
      <c r="T894" s="55"/>
    </row>
    <row r="895">
      <c r="A895" s="55"/>
      <c r="B895" s="55"/>
      <c r="D895" s="56"/>
      <c r="E895" s="57"/>
      <c r="H895" s="57"/>
      <c r="I895" s="57"/>
      <c r="J895" s="57"/>
      <c r="L895" s="57"/>
      <c r="N895" s="57"/>
      <c r="T895" s="55"/>
    </row>
    <row r="896">
      <c r="A896" s="55"/>
      <c r="B896" s="55"/>
      <c r="D896" s="56"/>
      <c r="E896" s="57"/>
      <c r="H896" s="57"/>
      <c r="I896" s="57"/>
      <c r="J896" s="57"/>
      <c r="L896" s="57"/>
      <c r="N896" s="57"/>
      <c r="T896" s="55"/>
    </row>
    <row r="897">
      <c r="A897" s="55"/>
      <c r="B897" s="55"/>
      <c r="D897" s="56"/>
      <c r="E897" s="57"/>
      <c r="H897" s="57"/>
      <c r="I897" s="57"/>
      <c r="J897" s="57"/>
      <c r="L897" s="57"/>
      <c r="N897" s="57"/>
      <c r="T897" s="55"/>
    </row>
    <row r="898">
      <c r="A898" s="55"/>
      <c r="B898" s="55"/>
      <c r="D898" s="56"/>
      <c r="E898" s="57"/>
      <c r="H898" s="57"/>
      <c r="I898" s="57"/>
      <c r="J898" s="57"/>
      <c r="L898" s="57"/>
      <c r="N898" s="57"/>
      <c r="T898" s="55"/>
    </row>
    <row r="899">
      <c r="A899" s="55"/>
      <c r="B899" s="55"/>
      <c r="D899" s="56"/>
      <c r="E899" s="57"/>
      <c r="H899" s="57"/>
      <c r="I899" s="57"/>
      <c r="J899" s="57"/>
      <c r="L899" s="57"/>
      <c r="N899" s="57"/>
      <c r="T899" s="55"/>
    </row>
    <row r="900">
      <c r="A900" s="55"/>
      <c r="B900" s="55"/>
      <c r="D900" s="56"/>
      <c r="E900" s="57"/>
      <c r="H900" s="57"/>
      <c r="I900" s="57"/>
      <c r="J900" s="57"/>
      <c r="L900" s="57"/>
      <c r="N900" s="57"/>
      <c r="T900" s="55"/>
    </row>
    <row r="901">
      <c r="A901" s="55"/>
      <c r="B901" s="55"/>
      <c r="D901" s="56"/>
      <c r="E901" s="57"/>
      <c r="H901" s="57"/>
      <c r="I901" s="57"/>
      <c r="J901" s="57"/>
      <c r="L901" s="57"/>
      <c r="N901" s="57"/>
      <c r="T901" s="55"/>
    </row>
    <row r="902">
      <c r="A902" s="55"/>
      <c r="B902" s="55"/>
      <c r="D902" s="56"/>
      <c r="E902" s="57"/>
      <c r="H902" s="57"/>
      <c r="I902" s="57"/>
      <c r="J902" s="57"/>
      <c r="L902" s="57"/>
      <c r="N902" s="57"/>
      <c r="T902" s="55"/>
    </row>
    <row r="903">
      <c r="A903" s="55"/>
      <c r="B903" s="55"/>
      <c r="D903" s="56"/>
      <c r="E903" s="57"/>
      <c r="H903" s="57"/>
      <c r="I903" s="57"/>
      <c r="J903" s="57"/>
      <c r="L903" s="57"/>
      <c r="N903" s="57"/>
      <c r="T903" s="55"/>
    </row>
    <row r="904">
      <c r="A904" s="55"/>
      <c r="B904" s="55"/>
      <c r="D904" s="56"/>
      <c r="E904" s="57"/>
      <c r="H904" s="57"/>
      <c r="I904" s="57"/>
      <c r="J904" s="57"/>
      <c r="L904" s="57"/>
      <c r="N904" s="57"/>
      <c r="T904" s="55"/>
    </row>
    <row r="905">
      <c r="A905" s="55"/>
      <c r="B905" s="55"/>
      <c r="D905" s="56"/>
      <c r="E905" s="57"/>
      <c r="H905" s="57"/>
      <c r="I905" s="57"/>
      <c r="J905" s="57"/>
      <c r="L905" s="57"/>
      <c r="N905" s="57"/>
      <c r="T905" s="55"/>
    </row>
    <row r="906">
      <c r="A906" s="55"/>
      <c r="B906" s="55"/>
      <c r="D906" s="56"/>
      <c r="E906" s="57"/>
      <c r="H906" s="57"/>
      <c r="I906" s="57"/>
      <c r="J906" s="57"/>
      <c r="L906" s="57"/>
      <c r="N906" s="57"/>
      <c r="T906" s="55"/>
    </row>
    <row r="907">
      <c r="A907" s="55"/>
      <c r="B907" s="55"/>
      <c r="D907" s="56"/>
      <c r="E907" s="57"/>
      <c r="H907" s="57"/>
      <c r="I907" s="57"/>
      <c r="J907" s="57"/>
      <c r="L907" s="57"/>
      <c r="N907" s="57"/>
      <c r="T907" s="55"/>
    </row>
    <row r="908">
      <c r="A908" s="55"/>
      <c r="B908" s="55"/>
      <c r="D908" s="56"/>
      <c r="E908" s="57"/>
      <c r="H908" s="57"/>
      <c r="I908" s="57"/>
      <c r="J908" s="57"/>
      <c r="L908" s="57"/>
      <c r="N908" s="57"/>
      <c r="T908" s="55"/>
    </row>
    <row r="909">
      <c r="A909" s="55"/>
      <c r="B909" s="55"/>
      <c r="D909" s="56"/>
      <c r="E909" s="57"/>
      <c r="H909" s="57"/>
      <c r="I909" s="57"/>
      <c r="J909" s="57"/>
      <c r="L909" s="57"/>
      <c r="N909" s="57"/>
      <c r="T909" s="55"/>
    </row>
    <row r="910">
      <c r="A910" s="55"/>
      <c r="B910" s="55"/>
      <c r="D910" s="56"/>
      <c r="E910" s="57"/>
      <c r="H910" s="57"/>
      <c r="I910" s="57"/>
      <c r="J910" s="57"/>
      <c r="L910" s="57"/>
      <c r="N910" s="57"/>
      <c r="T910" s="55"/>
    </row>
    <row r="911">
      <c r="A911" s="55"/>
      <c r="B911" s="55"/>
      <c r="D911" s="56"/>
      <c r="E911" s="57"/>
      <c r="H911" s="57"/>
      <c r="I911" s="57"/>
      <c r="J911" s="57"/>
      <c r="L911" s="57"/>
      <c r="N911" s="57"/>
      <c r="T911" s="55"/>
    </row>
    <row r="912">
      <c r="A912" s="55"/>
      <c r="B912" s="55"/>
      <c r="D912" s="56"/>
      <c r="E912" s="57"/>
      <c r="H912" s="57"/>
      <c r="I912" s="57"/>
      <c r="J912" s="57"/>
      <c r="L912" s="57"/>
      <c r="N912" s="57"/>
      <c r="T912" s="55"/>
    </row>
    <row r="913">
      <c r="A913" s="55"/>
      <c r="B913" s="55"/>
      <c r="D913" s="56"/>
      <c r="E913" s="57"/>
      <c r="H913" s="57"/>
      <c r="I913" s="57"/>
      <c r="J913" s="57"/>
      <c r="L913" s="57"/>
      <c r="N913" s="57"/>
      <c r="T913" s="55"/>
    </row>
    <row r="914">
      <c r="A914" s="55"/>
      <c r="B914" s="55"/>
      <c r="D914" s="56"/>
      <c r="E914" s="57"/>
      <c r="H914" s="57"/>
      <c r="I914" s="57"/>
      <c r="J914" s="57"/>
      <c r="L914" s="57"/>
      <c r="N914" s="57"/>
      <c r="T914" s="55"/>
    </row>
    <row r="915">
      <c r="A915" s="55"/>
      <c r="B915" s="55"/>
      <c r="D915" s="56"/>
      <c r="E915" s="57"/>
      <c r="H915" s="57"/>
      <c r="I915" s="57"/>
      <c r="J915" s="57"/>
      <c r="L915" s="57"/>
      <c r="N915" s="57"/>
      <c r="T915" s="55"/>
    </row>
    <row r="916">
      <c r="A916" s="55"/>
      <c r="B916" s="55"/>
      <c r="D916" s="56"/>
      <c r="E916" s="57"/>
      <c r="H916" s="57"/>
      <c r="I916" s="57"/>
      <c r="J916" s="57"/>
      <c r="L916" s="57"/>
      <c r="N916" s="57"/>
      <c r="T916" s="55"/>
    </row>
    <row r="917">
      <c r="A917" s="55"/>
      <c r="B917" s="55"/>
      <c r="D917" s="56"/>
      <c r="E917" s="57"/>
      <c r="H917" s="57"/>
      <c r="I917" s="57"/>
      <c r="J917" s="57"/>
      <c r="L917" s="57"/>
      <c r="N917" s="57"/>
      <c r="T917" s="55"/>
    </row>
    <row r="918">
      <c r="A918" s="55"/>
      <c r="B918" s="55"/>
      <c r="D918" s="56"/>
      <c r="E918" s="57"/>
      <c r="H918" s="57"/>
      <c r="I918" s="57"/>
      <c r="J918" s="57"/>
      <c r="L918" s="57"/>
      <c r="N918" s="57"/>
      <c r="T918" s="55"/>
    </row>
    <row r="919">
      <c r="A919" s="55"/>
      <c r="B919" s="55"/>
      <c r="D919" s="56"/>
      <c r="E919" s="57"/>
      <c r="H919" s="57"/>
      <c r="I919" s="57"/>
      <c r="J919" s="57"/>
      <c r="L919" s="57"/>
      <c r="N919" s="57"/>
      <c r="T919" s="55"/>
    </row>
    <row r="920">
      <c r="A920" s="55"/>
      <c r="B920" s="55"/>
      <c r="D920" s="56"/>
      <c r="E920" s="57"/>
      <c r="H920" s="57"/>
      <c r="I920" s="57"/>
      <c r="J920" s="57"/>
      <c r="L920" s="57"/>
      <c r="N920" s="57"/>
      <c r="T920" s="55"/>
    </row>
    <row r="921">
      <c r="A921" s="55"/>
      <c r="B921" s="55"/>
      <c r="D921" s="56"/>
      <c r="E921" s="57"/>
      <c r="H921" s="57"/>
      <c r="I921" s="57"/>
      <c r="J921" s="57"/>
      <c r="L921" s="57"/>
      <c r="N921" s="57"/>
      <c r="T921" s="55"/>
    </row>
    <row r="922">
      <c r="A922" s="55"/>
      <c r="B922" s="55"/>
      <c r="D922" s="56"/>
      <c r="E922" s="57"/>
      <c r="H922" s="57"/>
      <c r="I922" s="57"/>
      <c r="J922" s="57"/>
      <c r="L922" s="57"/>
      <c r="N922" s="57"/>
      <c r="T922" s="55"/>
    </row>
    <row r="923">
      <c r="A923" s="55"/>
      <c r="B923" s="55"/>
      <c r="D923" s="56"/>
      <c r="E923" s="57"/>
      <c r="H923" s="57"/>
      <c r="I923" s="57"/>
      <c r="J923" s="57"/>
      <c r="L923" s="57"/>
      <c r="N923" s="57"/>
      <c r="T923" s="55"/>
    </row>
    <row r="924">
      <c r="A924" s="55"/>
      <c r="B924" s="55"/>
      <c r="D924" s="56"/>
      <c r="E924" s="57"/>
      <c r="H924" s="57"/>
      <c r="I924" s="57"/>
      <c r="J924" s="57"/>
      <c r="L924" s="57"/>
      <c r="N924" s="57"/>
      <c r="T924" s="55"/>
    </row>
    <row r="925">
      <c r="A925" s="55"/>
      <c r="B925" s="55"/>
      <c r="D925" s="56"/>
      <c r="E925" s="57"/>
      <c r="H925" s="57"/>
      <c r="I925" s="57"/>
      <c r="J925" s="57"/>
      <c r="L925" s="57"/>
      <c r="N925" s="57"/>
      <c r="T925" s="55"/>
    </row>
    <row r="926">
      <c r="A926" s="55"/>
      <c r="B926" s="55"/>
      <c r="D926" s="56"/>
      <c r="E926" s="57"/>
      <c r="H926" s="57"/>
      <c r="I926" s="57"/>
      <c r="J926" s="57"/>
      <c r="L926" s="57"/>
      <c r="N926" s="57"/>
      <c r="T926" s="55"/>
    </row>
    <row r="927">
      <c r="A927" s="55"/>
      <c r="B927" s="55"/>
      <c r="D927" s="56"/>
      <c r="E927" s="57"/>
      <c r="H927" s="57"/>
      <c r="I927" s="57"/>
      <c r="J927" s="57"/>
      <c r="L927" s="57"/>
      <c r="N927" s="57"/>
      <c r="T927" s="55"/>
    </row>
    <row r="928">
      <c r="A928" s="55"/>
      <c r="B928" s="55"/>
      <c r="D928" s="56"/>
      <c r="E928" s="57"/>
      <c r="H928" s="57"/>
      <c r="I928" s="57"/>
      <c r="J928" s="57"/>
      <c r="L928" s="57"/>
      <c r="N928" s="57"/>
      <c r="T928" s="55"/>
    </row>
    <row r="929">
      <c r="A929" s="55"/>
      <c r="B929" s="55"/>
      <c r="D929" s="56"/>
      <c r="E929" s="57"/>
      <c r="H929" s="57"/>
      <c r="I929" s="57"/>
      <c r="J929" s="57"/>
      <c r="L929" s="57"/>
      <c r="N929" s="57"/>
      <c r="T929" s="55"/>
    </row>
    <row r="930">
      <c r="A930" s="55"/>
      <c r="B930" s="55"/>
      <c r="D930" s="56"/>
      <c r="E930" s="57"/>
      <c r="H930" s="57"/>
      <c r="I930" s="57"/>
      <c r="J930" s="57"/>
      <c r="L930" s="57"/>
      <c r="N930" s="57"/>
      <c r="T930" s="55"/>
    </row>
    <row r="931">
      <c r="A931" s="55"/>
      <c r="B931" s="55"/>
      <c r="D931" s="56"/>
      <c r="E931" s="57"/>
      <c r="H931" s="57"/>
      <c r="I931" s="57"/>
      <c r="J931" s="57"/>
      <c r="L931" s="57"/>
      <c r="N931" s="57"/>
      <c r="T931" s="55"/>
    </row>
    <row r="932">
      <c r="A932" s="55"/>
      <c r="B932" s="55"/>
      <c r="D932" s="56"/>
      <c r="E932" s="57"/>
      <c r="H932" s="57"/>
      <c r="I932" s="57"/>
      <c r="J932" s="57"/>
      <c r="L932" s="57"/>
      <c r="N932" s="57"/>
      <c r="T932" s="55"/>
    </row>
    <row r="933">
      <c r="A933" s="55"/>
      <c r="B933" s="55"/>
      <c r="D933" s="56"/>
      <c r="E933" s="57"/>
      <c r="H933" s="57"/>
      <c r="I933" s="57"/>
      <c r="J933" s="57"/>
      <c r="L933" s="57"/>
      <c r="N933" s="57"/>
      <c r="T933" s="55"/>
    </row>
    <row r="934">
      <c r="A934" s="55"/>
      <c r="B934" s="55"/>
      <c r="D934" s="56"/>
      <c r="E934" s="57"/>
      <c r="H934" s="57"/>
      <c r="I934" s="57"/>
      <c r="J934" s="57"/>
      <c r="L934" s="57"/>
      <c r="N934" s="57"/>
      <c r="T934" s="55"/>
    </row>
    <row r="935">
      <c r="A935" s="55"/>
      <c r="B935" s="55"/>
      <c r="D935" s="56"/>
      <c r="E935" s="57"/>
      <c r="H935" s="57"/>
      <c r="I935" s="57"/>
      <c r="J935" s="57"/>
      <c r="L935" s="57"/>
      <c r="N935" s="57"/>
      <c r="T935" s="55"/>
    </row>
    <row r="936">
      <c r="A936" s="55"/>
      <c r="B936" s="55"/>
      <c r="D936" s="56"/>
      <c r="E936" s="57"/>
      <c r="H936" s="57"/>
      <c r="I936" s="57"/>
      <c r="J936" s="57"/>
      <c r="L936" s="57"/>
      <c r="N936" s="57"/>
      <c r="T936" s="55"/>
    </row>
    <row r="937">
      <c r="A937" s="55"/>
      <c r="B937" s="55"/>
      <c r="D937" s="56"/>
      <c r="E937" s="57"/>
      <c r="H937" s="57"/>
      <c r="I937" s="57"/>
      <c r="J937" s="57"/>
      <c r="L937" s="57"/>
      <c r="N937" s="57"/>
      <c r="T937" s="55"/>
    </row>
    <row r="938">
      <c r="A938" s="55"/>
      <c r="B938" s="55"/>
      <c r="D938" s="56"/>
      <c r="E938" s="57"/>
      <c r="H938" s="57"/>
      <c r="I938" s="57"/>
      <c r="J938" s="57"/>
      <c r="L938" s="57"/>
      <c r="N938" s="57"/>
      <c r="T938" s="55"/>
    </row>
    <row r="939">
      <c r="A939" s="55"/>
      <c r="B939" s="55"/>
      <c r="D939" s="56"/>
      <c r="E939" s="57"/>
      <c r="H939" s="57"/>
      <c r="I939" s="57"/>
      <c r="J939" s="57"/>
      <c r="L939" s="57"/>
      <c r="N939" s="57"/>
      <c r="T939" s="55"/>
    </row>
    <row r="940">
      <c r="A940" s="55"/>
      <c r="B940" s="55"/>
      <c r="D940" s="56"/>
      <c r="E940" s="57"/>
      <c r="H940" s="57"/>
      <c r="I940" s="57"/>
      <c r="J940" s="57"/>
      <c r="L940" s="57"/>
      <c r="N940" s="57"/>
      <c r="T940" s="55"/>
    </row>
    <row r="941">
      <c r="A941" s="55"/>
      <c r="B941" s="55"/>
      <c r="D941" s="56"/>
      <c r="E941" s="57"/>
      <c r="H941" s="57"/>
      <c r="I941" s="57"/>
      <c r="J941" s="57"/>
      <c r="L941" s="57"/>
      <c r="N941" s="57"/>
      <c r="T941" s="55"/>
    </row>
    <row r="942">
      <c r="A942" s="55"/>
      <c r="B942" s="55"/>
      <c r="D942" s="56"/>
      <c r="E942" s="57"/>
      <c r="H942" s="57"/>
      <c r="I942" s="57"/>
      <c r="J942" s="57"/>
      <c r="L942" s="57"/>
      <c r="N942" s="57"/>
      <c r="T942" s="55"/>
    </row>
    <row r="943">
      <c r="A943" s="55"/>
      <c r="B943" s="55"/>
      <c r="D943" s="56"/>
      <c r="E943" s="57"/>
      <c r="H943" s="57"/>
      <c r="I943" s="57"/>
      <c r="J943" s="57"/>
      <c r="L943" s="57"/>
      <c r="N943" s="57"/>
      <c r="T943" s="55"/>
    </row>
    <row r="944">
      <c r="A944" s="55"/>
      <c r="B944" s="55"/>
      <c r="D944" s="56"/>
      <c r="E944" s="57"/>
      <c r="H944" s="57"/>
      <c r="I944" s="57"/>
      <c r="J944" s="57"/>
      <c r="L944" s="57"/>
      <c r="N944" s="57"/>
      <c r="T944" s="55"/>
    </row>
    <row r="945">
      <c r="A945" s="55"/>
      <c r="B945" s="55"/>
      <c r="D945" s="56"/>
      <c r="E945" s="57"/>
      <c r="H945" s="57"/>
      <c r="I945" s="57"/>
      <c r="J945" s="57"/>
      <c r="L945" s="57"/>
      <c r="N945" s="57"/>
      <c r="T945" s="55"/>
    </row>
    <row r="946">
      <c r="A946" s="55"/>
      <c r="B946" s="55"/>
      <c r="D946" s="56"/>
      <c r="E946" s="57"/>
      <c r="H946" s="57"/>
      <c r="I946" s="57"/>
      <c r="J946" s="57"/>
      <c r="L946" s="57"/>
      <c r="N946" s="57"/>
      <c r="T946" s="55"/>
    </row>
    <row r="947">
      <c r="A947" s="55"/>
      <c r="B947" s="55"/>
      <c r="D947" s="56"/>
      <c r="E947" s="57"/>
      <c r="H947" s="57"/>
      <c r="I947" s="57"/>
      <c r="J947" s="57"/>
      <c r="L947" s="57"/>
      <c r="N947" s="57"/>
      <c r="T947" s="55"/>
    </row>
    <row r="948">
      <c r="A948" s="55"/>
      <c r="B948" s="55"/>
      <c r="D948" s="56"/>
      <c r="E948" s="57"/>
      <c r="H948" s="57"/>
      <c r="I948" s="57"/>
      <c r="J948" s="57"/>
      <c r="L948" s="57"/>
      <c r="N948" s="57"/>
      <c r="T948" s="55"/>
    </row>
    <row r="949">
      <c r="A949" s="55"/>
      <c r="B949" s="55"/>
      <c r="D949" s="56"/>
      <c r="E949" s="57"/>
      <c r="H949" s="57"/>
      <c r="I949" s="57"/>
      <c r="J949" s="57"/>
      <c r="L949" s="57"/>
      <c r="N949" s="57"/>
      <c r="T949" s="55"/>
    </row>
    <row r="950">
      <c r="A950" s="55"/>
      <c r="B950" s="55"/>
      <c r="D950" s="56"/>
      <c r="E950" s="57"/>
      <c r="H950" s="57"/>
      <c r="I950" s="57"/>
      <c r="J950" s="57"/>
      <c r="L950" s="57"/>
      <c r="N950" s="57"/>
      <c r="T950" s="55"/>
    </row>
    <row r="951">
      <c r="A951" s="55"/>
      <c r="B951" s="55"/>
      <c r="D951" s="56"/>
      <c r="E951" s="57"/>
      <c r="H951" s="57"/>
      <c r="I951" s="57"/>
      <c r="J951" s="57"/>
      <c r="L951" s="57"/>
      <c r="N951" s="57"/>
      <c r="T951" s="55"/>
    </row>
    <row r="952">
      <c r="A952" s="55"/>
      <c r="B952" s="55"/>
      <c r="D952" s="56"/>
      <c r="E952" s="57"/>
      <c r="H952" s="57"/>
      <c r="I952" s="57"/>
      <c r="J952" s="57"/>
      <c r="L952" s="57"/>
      <c r="N952" s="57"/>
      <c r="T952" s="55"/>
    </row>
    <row r="953">
      <c r="A953" s="55"/>
      <c r="B953" s="55"/>
      <c r="D953" s="56"/>
      <c r="E953" s="57"/>
      <c r="H953" s="57"/>
      <c r="I953" s="57"/>
      <c r="J953" s="57"/>
      <c r="L953" s="57"/>
      <c r="N953" s="57"/>
      <c r="T953" s="55"/>
    </row>
    <row r="954">
      <c r="A954" s="55"/>
      <c r="B954" s="55"/>
      <c r="D954" s="56"/>
      <c r="E954" s="57"/>
      <c r="H954" s="57"/>
      <c r="I954" s="57"/>
      <c r="J954" s="57"/>
      <c r="L954" s="57"/>
      <c r="N954" s="57"/>
      <c r="T954" s="55"/>
    </row>
    <row r="955">
      <c r="A955" s="55"/>
      <c r="B955" s="55"/>
      <c r="D955" s="56"/>
      <c r="E955" s="57"/>
      <c r="H955" s="57"/>
      <c r="I955" s="57"/>
      <c r="J955" s="57"/>
      <c r="L955" s="57"/>
      <c r="N955" s="57"/>
      <c r="T955" s="55"/>
    </row>
    <row r="956">
      <c r="A956" s="55"/>
      <c r="B956" s="55"/>
      <c r="D956" s="56"/>
      <c r="E956" s="57"/>
      <c r="H956" s="57"/>
      <c r="I956" s="57"/>
      <c r="J956" s="57"/>
      <c r="L956" s="57"/>
      <c r="N956" s="57"/>
      <c r="T956" s="55"/>
    </row>
    <row r="957">
      <c r="A957" s="55"/>
      <c r="B957" s="55"/>
      <c r="D957" s="56"/>
      <c r="E957" s="57"/>
      <c r="H957" s="57"/>
      <c r="I957" s="57"/>
      <c r="J957" s="57"/>
      <c r="L957" s="57"/>
      <c r="N957" s="57"/>
      <c r="T957" s="55"/>
    </row>
    <row r="958">
      <c r="A958" s="55"/>
      <c r="B958" s="55"/>
      <c r="D958" s="56"/>
      <c r="E958" s="57"/>
      <c r="H958" s="57"/>
      <c r="I958" s="57"/>
      <c r="J958" s="57"/>
      <c r="L958" s="57"/>
      <c r="N958" s="57"/>
      <c r="T958" s="55"/>
    </row>
    <row r="959">
      <c r="A959" s="55"/>
      <c r="B959" s="55"/>
      <c r="D959" s="56"/>
      <c r="E959" s="57"/>
      <c r="H959" s="57"/>
      <c r="I959" s="57"/>
      <c r="J959" s="57"/>
      <c r="L959" s="57"/>
      <c r="N959" s="57"/>
      <c r="T959" s="55"/>
    </row>
    <row r="960">
      <c r="A960" s="55"/>
      <c r="B960" s="55"/>
      <c r="D960" s="56"/>
      <c r="E960" s="57"/>
      <c r="H960" s="57"/>
      <c r="I960" s="57"/>
      <c r="J960" s="57"/>
      <c r="L960" s="57"/>
      <c r="N960" s="57"/>
      <c r="T960" s="55"/>
    </row>
    <row r="961">
      <c r="A961" s="55"/>
      <c r="B961" s="55"/>
      <c r="D961" s="56"/>
      <c r="E961" s="57"/>
      <c r="H961" s="57"/>
      <c r="I961" s="57"/>
      <c r="J961" s="57"/>
      <c r="L961" s="57"/>
      <c r="N961" s="57"/>
      <c r="T961" s="55"/>
    </row>
    <row r="962">
      <c r="A962" s="55"/>
      <c r="B962" s="55"/>
      <c r="D962" s="56"/>
      <c r="E962" s="57"/>
      <c r="H962" s="57"/>
      <c r="I962" s="57"/>
      <c r="J962" s="57"/>
      <c r="L962" s="57"/>
      <c r="N962" s="57"/>
      <c r="T962" s="55"/>
    </row>
    <row r="963">
      <c r="A963" s="55"/>
      <c r="B963" s="55"/>
      <c r="D963" s="56"/>
      <c r="E963" s="57"/>
      <c r="H963" s="57"/>
      <c r="I963" s="57"/>
      <c r="J963" s="57"/>
      <c r="L963" s="57"/>
      <c r="N963" s="57"/>
      <c r="T963" s="55"/>
    </row>
    <row r="964">
      <c r="A964" s="55"/>
      <c r="B964" s="55"/>
      <c r="D964" s="56"/>
      <c r="E964" s="57"/>
      <c r="H964" s="57"/>
      <c r="I964" s="57"/>
      <c r="J964" s="57"/>
      <c r="L964" s="57"/>
      <c r="N964" s="57"/>
      <c r="T964" s="55"/>
    </row>
    <row r="965">
      <c r="A965" s="55"/>
      <c r="B965" s="55"/>
      <c r="D965" s="56"/>
      <c r="E965" s="57"/>
      <c r="H965" s="57"/>
      <c r="I965" s="57"/>
      <c r="J965" s="57"/>
      <c r="L965" s="57"/>
      <c r="N965" s="57"/>
      <c r="T965" s="55"/>
    </row>
    <row r="966">
      <c r="A966" s="55"/>
      <c r="B966" s="55"/>
      <c r="D966" s="56"/>
      <c r="E966" s="57"/>
      <c r="H966" s="57"/>
      <c r="I966" s="57"/>
      <c r="J966" s="57"/>
      <c r="L966" s="57"/>
      <c r="N966" s="57"/>
      <c r="T966" s="55"/>
    </row>
    <row r="967">
      <c r="A967" s="55"/>
      <c r="B967" s="55"/>
      <c r="D967" s="56"/>
      <c r="E967" s="57"/>
      <c r="H967" s="57"/>
      <c r="I967" s="57"/>
      <c r="J967" s="57"/>
      <c r="L967" s="57"/>
      <c r="N967" s="57"/>
      <c r="T967" s="55"/>
    </row>
    <row r="968">
      <c r="A968" s="55"/>
      <c r="B968" s="55"/>
      <c r="D968" s="56"/>
      <c r="E968" s="57"/>
      <c r="H968" s="57"/>
      <c r="I968" s="57"/>
      <c r="J968" s="57"/>
      <c r="L968" s="57"/>
      <c r="N968" s="57"/>
      <c r="T968" s="55"/>
    </row>
    <row r="969">
      <c r="A969" s="55"/>
      <c r="B969" s="55"/>
      <c r="D969" s="56"/>
      <c r="E969" s="57"/>
      <c r="H969" s="57"/>
      <c r="I969" s="57"/>
      <c r="J969" s="57"/>
      <c r="L969" s="57"/>
      <c r="N969" s="57"/>
      <c r="T969" s="55"/>
    </row>
    <row r="970">
      <c r="A970" s="55"/>
      <c r="B970" s="55"/>
      <c r="D970" s="56"/>
      <c r="E970" s="57"/>
      <c r="H970" s="57"/>
      <c r="I970" s="57"/>
      <c r="J970" s="57"/>
      <c r="L970" s="57"/>
      <c r="N970" s="57"/>
      <c r="T970" s="55"/>
    </row>
    <row r="971">
      <c r="A971" s="55"/>
      <c r="B971" s="55"/>
      <c r="D971" s="56"/>
      <c r="E971" s="57"/>
      <c r="H971" s="57"/>
      <c r="I971" s="57"/>
      <c r="J971" s="57"/>
      <c r="L971" s="57"/>
      <c r="N971" s="57"/>
      <c r="T971" s="55"/>
    </row>
    <row r="972">
      <c r="A972" s="55"/>
      <c r="B972" s="55"/>
      <c r="D972" s="56"/>
      <c r="E972" s="57"/>
      <c r="H972" s="57"/>
      <c r="I972" s="57"/>
      <c r="J972" s="57"/>
      <c r="L972" s="57"/>
      <c r="N972" s="57"/>
      <c r="T972" s="55"/>
    </row>
    <row r="973">
      <c r="A973" s="55"/>
      <c r="B973" s="55"/>
      <c r="D973" s="56"/>
      <c r="E973" s="57"/>
      <c r="H973" s="57"/>
      <c r="I973" s="57"/>
      <c r="J973" s="57"/>
      <c r="L973" s="57"/>
      <c r="N973" s="57"/>
      <c r="T973" s="55"/>
    </row>
    <row r="974">
      <c r="A974" s="55"/>
      <c r="B974" s="55"/>
      <c r="D974" s="56"/>
      <c r="E974" s="57"/>
      <c r="H974" s="57"/>
      <c r="I974" s="57"/>
      <c r="J974" s="57"/>
      <c r="L974" s="57"/>
      <c r="N974" s="57"/>
      <c r="T974" s="55"/>
    </row>
    <row r="975">
      <c r="A975" s="55"/>
      <c r="B975" s="55"/>
      <c r="D975" s="56"/>
      <c r="E975" s="57"/>
      <c r="H975" s="57"/>
      <c r="I975" s="57"/>
      <c r="J975" s="57"/>
      <c r="L975" s="57"/>
      <c r="N975" s="57"/>
      <c r="T975" s="55"/>
    </row>
    <row r="976">
      <c r="A976" s="55"/>
      <c r="B976" s="55"/>
      <c r="D976" s="56"/>
      <c r="E976" s="57"/>
      <c r="H976" s="57"/>
      <c r="I976" s="57"/>
      <c r="J976" s="57"/>
      <c r="L976" s="57"/>
      <c r="N976" s="57"/>
      <c r="T976" s="55"/>
    </row>
    <row r="977">
      <c r="A977" s="55"/>
      <c r="B977" s="55"/>
      <c r="D977" s="56"/>
      <c r="E977" s="57"/>
      <c r="H977" s="57"/>
      <c r="I977" s="57"/>
      <c r="J977" s="57"/>
      <c r="L977" s="57"/>
      <c r="N977" s="57"/>
      <c r="T977" s="55"/>
    </row>
    <row r="978">
      <c r="A978" s="55"/>
      <c r="B978" s="55"/>
      <c r="D978" s="56"/>
      <c r="E978" s="57"/>
      <c r="H978" s="57"/>
      <c r="I978" s="57"/>
      <c r="J978" s="57"/>
      <c r="L978" s="57"/>
      <c r="N978" s="57"/>
      <c r="T978" s="55"/>
    </row>
    <row r="979">
      <c r="A979" s="55"/>
      <c r="B979" s="55"/>
      <c r="D979" s="56"/>
      <c r="E979" s="57"/>
      <c r="H979" s="57"/>
      <c r="I979" s="57"/>
      <c r="J979" s="57"/>
      <c r="L979" s="57"/>
      <c r="N979" s="57"/>
      <c r="T979" s="55"/>
    </row>
    <row r="980">
      <c r="A980" s="55"/>
      <c r="B980" s="55"/>
      <c r="D980" s="56"/>
      <c r="E980" s="57"/>
      <c r="H980" s="57"/>
      <c r="I980" s="57"/>
      <c r="J980" s="57"/>
      <c r="L980" s="57"/>
      <c r="N980" s="57"/>
      <c r="T980" s="55"/>
    </row>
    <row r="981">
      <c r="A981" s="55"/>
      <c r="B981" s="55"/>
      <c r="D981" s="56"/>
      <c r="E981" s="57"/>
      <c r="H981" s="57"/>
      <c r="I981" s="57"/>
      <c r="J981" s="57"/>
      <c r="L981" s="57"/>
      <c r="N981" s="57"/>
      <c r="T981" s="55"/>
    </row>
    <row r="982">
      <c r="A982" s="55"/>
      <c r="B982" s="55"/>
      <c r="D982" s="56"/>
      <c r="E982" s="57"/>
      <c r="H982" s="57"/>
      <c r="I982" s="57"/>
      <c r="J982" s="57"/>
      <c r="L982" s="57"/>
      <c r="N982" s="57"/>
      <c r="T982" s="55"/>
    </row>
    <row r="983">
      <c r="A983" s="55"/>
      <c r="B983" s="55"/>
      <c r="D983" s="56"/>
      <c r="E983" s="57"/>
      <c r="H983" s="57"/>
      <c r="I983" s="57"/>
      <c r="J983" s="57"/>
      <c r="L983" s="57"/>
      <c r="N983" s="57"/>
      <c r="T983" s="55"/>
    </row>
    <row r="984">
      <c r="A984" s="55"/>
      <c r="B984" s="55"/>
      <c r="D984" s="56"/>
      <c r="E984" s="57"/>
      <c r="H984" s="57"/>
      <c r="I984" s="57"/>
      <c r="J984" s="57"/>
      <c r="L984" s="57"/>
      <c r="N984" s="57"/>
      <c r="T984" s="55"/>
    </row>
    <row r="985">
      <c r="A985" s="55"/>
      <c r="B985" s="55"/>
      <c r="D985" s="56"/>
      <c r="E985" s="57"/>
      <c r="H985" s="57"/>
      <c r="I985" s="57"/>
      <c r="J985" s="57"/>
      <c r="L985" s="57"/>
      <c r="N985" s="57"/>
      <c r="T985" s="55"/>
    </row>
    <row r="986">
      <c r="A986" s="55"/>
      <c r="B986" s="55"/>
      <c r="D986" s="56"/>
      <c r="E986" s="57"/>
      <c r="H986" s="57"/>
      <c r="I986" s="57"/>
      <c r="J986" s="57"/>
      <c r="L986" s="57"/>
      <c r="N986" s="57"/>
      <c r="T986" s="55"/>
    </row>
    <row r="987">
      <c r="A987" s="55"/>
      <c r="B987" s="55"/>
      <c r="D987" s="56"/>
      <c r="E987" s="57"/>
      <c r="H987" s="57"/>
      <c r="I987" s="57"/>
      <c r="J987" s="57"/>
      <c r="L987" s="57"/>
      <c r="N987" s="57"/>
      <c r="T987" s="55"/>
    </row>
    <row r="988">
      <c r="A988" s="55"/>
      <c r="B988" s="55"/>
      <c r="D988" s="56"/>
      <c r="E988" s="57"/>
      <c r="H988" s="57"/>
      <c r="I988" s="57"/>
      <c r="J988" s="57"/>
      <c r="L988" s="57"/>
      <c r="N988" s="57"/>
      <c r="T988" s="55"/>
    </row>
    <row r="989">
      <c r="A989" s="55"/>
      <c r="B989" s="55"/>
      <c r="D989" s="56"/>
      <c r="E989" s="57"/>
      <c r="H989" s="57"/>
      <c r="I989" s="57"/>
      <c r="J989" s="57"/>
      <c r="L989" s="57"/>
      <c r="N989" s="57"/>
      <c r="T989" s="55"/>
    </row>
    <row r="990">
      <c r="A990" s="55"/>
      <c r="B990" s="55"/>
      <c r="D990" s="56"/>
      <c r="E990" s="57"/>
      <c r="H990" s="57"/>
      <c r="I990" s="57"/>
      <c r="J990" s="57"/>
      <c r="L990" s="57"/>
      <c r="N990" s="57"/>
      <c r="T990" s="55"/>
    </row>
    <row r="991">
      <c r="A991" s="55"/>
      <c r="B991" s="55"/>
      <c r="D991" s="56"/>
      <c r="E991" s="57"/>
      <c r="H991" s="57"/>
      <c r="I991" s="57"/>
      <c r="J991" s="57"/>
      <c r="L991" s="57"/>
      <c r="N991" s="57"/>
      <c r="T991" s="55"/>
    </row>
    <row r="992">
      <c r="A992" s="55"/>
      <c r="B992" s="55"/>
      <c r="D992" s="56"/>
      <c r="E992" s="57"/>
      <c r="H992" s="57"/>
      <c r="I992" s="57"/>
      <c r="J992" s="57"/>
      <c r="L992" s="57"/>
      <c r="N992" s="57"/>
      <c r="T992" s="55"/>
    </row>
    <row r="993">
      <c r="A993" s="55"/>
      <c r="B993" s="55"/>
      <c r="D993" s="56"/>
      <c r="E993" s="57"/>
      <c r="H993" s="57"/>
      <c r="I993" s="57"/>
      <c r="J993" s="57"/>
      <c r="L993" s="57"/>
      <c r="N993" s="57"/>
      <c r="T993" s="55"/>
    </row>
    <row r="994">
      <c r="A994" s="55"/>
      <c r="B994" s="55"/>
      <c r="D994" s="56"/>
      <c r="E994" s="57"/>
      <c r="H994" s="57"/>
      <c r="I994" s="57"/>
      <c r="J994" s="57"/>
      <c r="L994" s="57"/>
      <c r="N994" s="57"/>
      <c r="T994" s="55"/>
    </row>
    <row r="995">
      <c r="A995" s="55"/>
      <c r="B995" s="55"/>
      <c r="D995" s="56"/>
      <c r="E995" s="57"/>
      <c r="H995" s="57"/>
      <c r="I995" s="57"/>
      <c r="J995" s="57"/>
      <c r="L995" s="57"/>
      <c r="N995" s="57"/>
      <c r="T995" s="55"/>
    </row>
    <row r="996">
      <c r="A996" s="55"/>
      <c r="B996" s="55"/>
      <c r="D996" s="56"/>
      <c r="E996" s="57"/>
      <c r="H996" s="57"/>
      <c r="I996" s="57"/>
      <c r="J996" s="57"/>
      <c r="L996" s="57"/>
      <c r="N996" s="57"/>
      <c r="T996" s="55"/>
    </row>
    <row r="997">
      <c r="A997" s="55"/>
      <c r="B997" s="55"/>
      <c r="D997" s="56"/>
      <c r="E997" s="57"/>
      <c r="H997" s="57"/>
      <c r="I997" s="57"/>
      <c r="J997" s="57"/>
      <c r="L997" s="57"/>
      <c r="N997" s="57"/>
      <c r="T997" s="55"/>
    </row>
    <row r="998">
      <c r="A998" s="55"/>
      <c r="B998" s="55"/>
      <c r="D998" s="56"/>
      <c r="E998" s="57"/>
      <c r="H998" s="57"/>
      <c r="I998" s="57"/>
      <c r="J998" s="57"/>
      <c r="L998" s="57"/>
      <c r="N998" s="57"/>
      <c r="T998" s="55"/>
    </row>
    <row r="999">
      <c r="A999" s="55"/>
      <c r="B999" s="55"/>
      <c r="D999" s="56"/>
      <c r="E999" s="57"/>
      <c r="H999" s="57"/>
      <c r="I999" s="57"/>
      <c r="J999" s="57"/>
      <c r="L999" s="57"/>
      <c r="N999" s="57"/>
      <c r="T999" s="55"/>
    </row>
    <row r="1000">
      <c r="A1000" s="55"/>
      <c r="B1000" s="55"/>
      <c r="D1000" s="56"/>
      <c r="E1000" s="57"/>
      <c r="H1000" s="57"/>
      <c r="I1000" s="57"/>
      <c r="J1000" s="57"/>
      <c r="L1000" s="57"/>
      <c r="N1000" s="57"/>
      <c r="T1000" s="55"/>
    </row>
    <row r="1001">
      <c r="A1001" s="55"/>
      <c r="B1001" s="55"/>
      <c r="D1001" s="56"/>
      <c r="E1001" s="57"/>
      <c r="H1001" s="57"/>
      <c r="I1001" s="57"/>
      <c r="J1001" s="57"/>
      <c r="L1001" s="57"/>
      <c r="N1001" s="57"/>
      <c r="T1001" s="55"/>
    </row>
    <row r="1002">
      <c r="A1002" s="55"/>
      <c r="B1002" s="55"/>
      <c r="D1002" s="56"/>
      <c r="E1002" s="57"/>
      <c r="H1002" s="57"/>
      <c r="I1002" s="57"/>
      <c r="J1002" s="57"/>
      <c r="L1002" s="57"/>
      <c r="N1002" s="57"/>
      <c r="T1002" s="55"/>
    </row>
    <row r="1003">
      <c r="A1003" s="55"/>
      <c r="B1003" s="55"/>
      <c r="D1003" s="57"/>
      <c r="E1003" s="57"/>
      <c r="H1003" s="57"/>
      <c r="I1003" s="57"/>
      <c r="J1003" s="57"/>
      <c r="L1003" s="57"/>
      <c r="N1003" s="57"/>
      <c r="T1003" s="55"/>
    </row>
  </sheetData>
  <conditionalFormatting sqref="K2:K42 M2:M42 O2:O42 K48:K53 M48:M53 O48:O53">
    <cfRule type="colorScale" priority="1">
      <colorScale>
        <cfvo type="min"/>
        <cfvo type="formula" val="0.5"/>
        <cfvo type="max"/>
        <color rgb="FFEA4335"/>
        <color rgb="FF46BDC6"/>
        <color rgb="FF34A853"/>
      </colorScale>
    </cfRule>
  </conditionalFormatting>
  <dataValidations>
    <dataValidation type="list" allowBlank="1" showErrorMessage="1" sqref="C2:C42 C47:C53">
      <formula1>"Transaction MoMo,Data,Airtime,DLS ONLINE,DLS ONLINE 2"</formula1>
    </dataValidation>
  </dataValidations>
  <hyperlinks>
    <hyperlink r:id="rId1" ref="P41"/>
    <hyperlink r:id="rId2" ref="R41"/>
    <hyperlink r:id="rId3" ref="P42"/>
    <hyperlink r:id="rId4" ref="R42"/>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28.75"/>
    <col customWidth="1" min="3" max="3" width="29.88"/>
    <col customWidth="1" min="4" max="4" width="95.25"/>
    <col customWidth="1" min="5" max="5" width="48.25"/>
    <col customWidth="1" hidden="1" min="6" max="6" width="39.13"/>
    <col customWidth="1" hidden="1" min="7" max="7" width="39.5"/>
    <col customWidth="1" hidden="1" min="8" max="8" width="49.88"/>
    <col customWidth="1" hidden="1" min="9" max="9" width="52.63"/>
    <col customWidth="1" min="12" max="12" width="65.13"/>
  </cols>
  <sheetData>
    <row r="1" ht="37.5" customHeight="1">
      <c r="A1" s="13" t="s">
        <v>27</v>
      </c>
      <c r="B1" s="14" t="s">
        <v>28</v>
      </c>
      <c r="C1" s="12" t="s">
        <v>361</v>
      </c>
      <c r="D1" s="12" t="s">
        <v>29</v>
      </c>
      <c r="E1" s="12" t="s">
        <v>30</v>
      </c>
      <c r="F1" s="77" t="s">
        <v>31</v>
      </c>
      <c r="G1" s="77" t="s">
        <v>32</v>
      </c>
      <c r="H1" s="77" t="s">
        <v>33</v>
      </c>
      <c r="I1" s="77" t="s">
        <v>34</v>
      </c>
      <c r="K1" s="78" t="s">
        <v>362</v>
      </c>
      <c r="L1" s="79" t="s">
        <v>363</v>
      </c>
    </row>
    <row r="2" ht="60.0" customHeight="1">
      <c r="A2" s="16" t="s">
        <v>364</v>
      </c>
      <c r="B2" s="17" t="s">
        <v>365</v>
      </c>
      <c r="C2" s="48" t="s">
        <v>366</v>
      </c>
      <c r="D2" s="18"/>
      <c r="E2" s="19"/>
      <c r="F2" s="20" t="s">
        <v>45</v>
      </c>
      <c r="G2" s="21" t="s">
        <v>46</v>
      </c>
      <c r="H2" s="22" t="s">
        <v>47</v>
      </c>
      <c r="I2" s="23" t="s">
        <v>48</v>
      </c>
      <c r="K2" s="78" t="s">
        <v>367</v>
      </c>
      <c r="L2" s="80" t="s">
        <v>368</v>
      </c>
    </row>
    <row r="3" ht="60.0" customHeight="1">
      <c r="A3" s="16" t="s">
        <v>369</v>
      </c>
      <c r="B3" s="17" t="s">
        <v>365</v>
      </c>
      <c r="C3" s="48" t="s">
        <v>366</v>
      </c>
      <c r="D3" s="18"/>
      <c r="E3" s="19"/>
      <c r="F3" s="27" t="s">
        <v>53</v>
      </c>
      <c r="G3" s="28" t="s">
        <v>54</v>
      </c>
      <c r="H3" s="29" t="s">
        <v>55</v>
      </c>
      <c r="I3" s="23" t="s">
        <v>56</v>
      </c>
    </row>
    <row r="4" ht="60.0" customHeight="1">
      <c r="A4" s="16" t="s">
        <v>370</v>
      </c>
      <c r="B4" s="17" t="s">
        <v>365</v>
      </c>
      <c r="C4" s="48" t="s">
        <v>371</v>
      </c>
      <c r="D4" s="19"/>
      <c r="E4" s="18"/>
      <c r="F4" s="30" t="s">
        <v>61</v>
      </c>
      <c r="G4" s="31" t="s">
        <v>62</v>
      </c>
      <c r="H4" s="32" t="s">
        <v>63</v>
      </c>
      <c r="I4" s="23" t="s">
        <v>64</v>
      </c>
    </row>
    <row r="5" ht="60.0" customHeight="1">
      <c r="A5" s="16" t="s">
        <v>372</v>
      </c>
      <c r="B5" s="17" t="s">
        <v>365</v>
      </c>
      <c r="C5" s="48" t="s">
        <v>366</v>
      </c>
      <c r="D5" s="18"/>
      <c r="E5" s="19"/>
      <c r="F5" s="27" t="s">
        <v>68</v>
      </c>
      <c r="G5" s="28" t="s">
        <v>69</v>
      </c>
      <c r="H5" s="29" t="s">
        <v>70</v>
      </c>
      <c r="I5" s="23" t="s">
        <v>71</v>
      </c>
      <c r="K5" s="78" t="s">
        <v>27</v>
      </c>
      <c r="L5" s="79" t="s">
        <v>373</v>
      </c>
    </row>
    <row r="6" ht="60.0" customHeight="1">
      <c r="A6" s="16" t="s">
        <v>374</v>
      </c>
      <c r="B6" s="17" t="s">
        <v>365</v>
      </c>
      <c r="C6" s="48" t="s">
        <v>366</v>
      </c>
      <c r="D6" s="18"/>
      <c r="E6" s="19"/>
      <c r="F6" s="30" t="s">
        <v>76</v>
      </c>
      <c r="G6" s="31" t="s">
        <v>77</v>
      </c>
      <c r="H6" s="32" t="s">
        <v>78</v>
      </c>
      <c r="I6" s="23" t="s">
        <v>79</v>
      </c>
    </row>
    <row r="7" ht="60.0" customHeight="1">
      <c r="A7" s="16" t="s">
        <v>375</v>
      </c>
      <c r="B7" s="17" t="s">
        <v>365</v>
      </c>
      <c r="C7" s="48" t="s">
        <v>376</v>
      </c>
      <c r="D7" s="33"/>
      <c r="E7" s="34"/>
      <c r="F7" s="35" t="s">
        <v>84</v>
      </c>
      <c r="G7" s="35" t="s">
        <v>85</v>
      </c>
      <c r="H7" s="33" t="s">
        <v>86</v>
      </c>
      <c r="I7" s="23" t="s">
        <v>87</v>
      </c>
      <c r="K7" s="78" t="s">
        <v>377</v>
      </c>
      <c r="L7" s="79" t="s">
        <v>378</v>
      </c>
    </row>
    <row r="8" ht="60.0" customHeight="1">
      <c r="A8" s="16" t="s">
        <v>379</v>
      </c>
      <c r="B8" s="17" t="s">
        <v>365</v>
      </c>
      <c r="C8" s="48" t="s">
        <v>376</v>
      </c>
      <c r="D8" s="33"/>
      <c r="E8" s="34"/>
      <c r="F8" s="35" t="s">
        <v>92</v>
      </c>
      <c r="G8" s="35" t="s">
        <v>93</v>
      </c>
      <c r="H8" s="33" t="s">
        <v>94</v>
      </c>
      <c r="I8" s="23" t="s">
        <v>95</v>
      </c>
      <c r="L8" s="81" t="s">
        <v>380</v>
      </c>
    </row>
    <row r="9" ht="60.0" customHeight="1">
      <c r="A9" s="16" t="s">
        <v>381</v>
      </c>
      <c r="B9" s="17" t="s">
        <v>365</v>
      </c>
      <c r="C9" s="48" t="s">
        <v>376</v>
      </c>
      <c r="D9" s="33"/>
      <c r="E9" s="34"/>
      <c r="F9" s="35" t="s">
        <v>100</v>
      </c>
      <c r="G9" s="35" t="s">
        <v>101</v>
      </c>
      <c r="H9" s="33" t="s">
        <v>102</v>
      </c>
      <c r="I9" s="23" t="s">
        <v>103</v>
      </c>
    </row>
    <row r="10" ht="60.0" customHeight="1">
      <c r="A10" s="16" t="s">
        <v>382</v>
      </c>
      <c r="B10" s="17" t="s">
        <v>365</v>
      </c>
      <c r="C10" s="48" t="s">
        <v>366</v>
      </c>
      <c r="D10" s="33"/>
      <c r="E10" s="34"/>
      <c r="F10" s="35" t="s">
        <v>108</v>
      </c>
      <c r="G10" s="35" t="s">
        <v>109</v>
      </c>
      <c r="H10" s="33" t="s">
        <v>110</v>
      </c>
      <c r="I10" s="23" t="s">
        <v>111</v>
      </c>
    </row>
    <row r="11" ht="60.0" customHeight="1">
      <c r="A11" s="16" t="s">
        <v>383</v>
      </c>
      <c r="B11" s="17" t="s">
        <v>365</v>
      </c>
      <c r="C11" s="48" t="s">
        <v>376</v>
      </c>
      <c r="D11" s="33"/>
      <c r="E11" s="34"/>
      <c r="F11" s="35" t="s">
        <v>116</v>
      </c>
      <c r="G11" s="35" t="s">
        <v>117</v>
      </c>
      <c r="H11" s="33" t="s">
        <v>118</v>
      </c>
      <c r="I11" s="23" t="s">
        <v>119</v>
      </c>
    </row>
    <row r="12" ht="60.0" customHeight="1">
      <c r="A12" s="16" t="s">
        <v>384</v>
      </c>
      <c r="B12" s="17" t="s">
        <v>365</v>
      </c>
      <c r="C12" s="48" t="s">
        <v>366</v>
      </c>
      <c r="D12" s="33"/>
      <c r="E12" s="34"/>
      <c r="F12" s="35" t="s">
        <v>124</v>
      </c>
      <c r="G12" s="35" t="s">
        <v>125</v>
      </c>
      <c r="H12" s="33" t="s">
        <v>126</v>
      </c>
      <c r="I12" s="23" t="s">
        <v>127</v>
      </c>
    </row>
    <row r="13" ht="60.0" customHeight="1">
      <c r="A13" s="16" t="s">
        <v>385</v>
      </c>
      <c r="B13" s="17" t="s">
        <v>365</v>
      </c>
      <c r="C13" s="48" t="s">
        <v>366</v>
      </c>
      <c r="D13" s="33"/>
      <c r="E13" s="33"/>
      <c r="F13" s="35" t="s">
        <v>133</v>
      </c>
      <c r="G13" s="35" t="s">
        <v>134</v>
      </c>
      <c r="H13" s="33" t="s">
        <v>135</v>
      </c>
      <c r="I13" s="23" t="s">
        <v>136</v>
      </c>
    </row>
    <row r="14" ht="60.0" customHeight="1">
      <c r="A14" s="16" t="s">
        <v>386</v>
      </c>
      <c r="B14" s="17" t="s">
        <v>365</v>
      </c>
      <c r="C14" s="48" t="s">
        <v>376</v>
      </c>
      <c r="D14" s="33"/>
      <c r="E14" s="33"/>
      <c r="F14" s="35" t="s">
        <v>143</v>
      </c>
      <c r="G14" s="35" t="s">
        <v>144</v>
      </c>
      <c r="H14" s="33" t="s">
        <v>145</v>
      </c>
      <c r="I14" s="23" t="s">
        <v>146</v>
      </c>
    </row>
    <row r="15" ht="60.0" customHeight="1">
      <c r="A15" s="16" t="s">
        <v>387</v>
      </c>
      <c r="B15" s="17" t="s">
        <v>365</v>
      </c>
      <c r="C15" s="48" t="s">
        <v>366</v>
      </c>
      <c r="D15" s="34"/>
      <c r="E15" s="33"/>
      <c r="F15" s="73" t="s">
        <v>349</v>
      </c>
      <c r="G15" s="44" t="s">
        <v>350</v>
      </c>
      <c r="H15" s="74" t="s">
        <v>351</v>
      </c>
      <c r="I15" s="23" t="s">
        <v>352</v>
      </c>
    </row>
    <row r="16" ht="60.0" customHeight="1">
      <c r="A16" s="16" t="s">
        <v>388</v>
      </c>
      <c r="B16" s="17" t="s">
        <v>365</v>
      </c>
      <c r="C16" s="48" t="s">
        <v>376</v>
      </c>
      <c r="D16" s="34"/>
      <c r="E16" s="33"/>
      <c r="F16" s="75" t="s">
        <v>356</v>
      </c>
      <c r="G16" s="47" t="s">
        <v>357</v>
      </c>
      <c r="H16" s="76" t="s">
        <v>358</v>
      </c>
      <c r="I16" s="23" t="s">
        <v>359</v>
      </c>
    </row>
    <row r="17" ht="60.0" customHeight="1">
      <c r="A17" s="16" t="s">
        <v>389</v>
      </c>
      <c r="B17" s="17" t="s">
        <v>365</v>
      </c>
      <c r="C17" s="48" t="s">
        <v>371</v>
      </c>
      <c r="D17" s="37"/>
      <c r="E17" s="38"/>
      <c r="F17" s="39" t="s">
        <v>153</v>
      </c>
      <c r="G17" s="39" t="s">
        <v>154</v>
      </c>
      <c r="H17" s="23" t="s">
        <v>155</v>
      </c>
      <c r="I17" s="23" t="s">
        <v>156</v>
      </c>
    </row>
    <row r="18" ht="60.0" customHeight="1">
      <c r="A18" s="16" t="s">
        <v>390</v>
      </c>
      <c r="B18" s="17" t="s">
        <v>365</v>
      </c>
      <c r="C18" s="48" t="s">
        <v>366</v>
      </c>
      <c r="D18" s="37"/>
      <c r="E18" s="38"/>
      <c r="F18" s="39" t="s">
        <v>163</v>
      </c>
      <c r="G18" s="39" t="s">
        <v>164</v>
      </c>
      <c r="H18" s="23" t="s">
        <v>165</v>
      </c>
      <c r="I18" s="23" t="s">
        <v>166</v>
      </c>
    </row>
    <row r="19" ht="60.0" customHeight="1">
      <c r="A19" s="16" t="s">
        <v>391</v>
      </c>
      <c r="B19" s="17" t="s">
        <v>365</v>
      </c>
      <c r="C19" s="48" t="s">
        <v>366</v>
      </c>
      <c r="D19" s="37"/>
      <c r="E19" s="38"/>
      <c r="F19" s="39" t="s">
        <v>338</v>
      </c>
      <c r="G19" s="39" t="s">
        <v>339</v>
      </c>
      <c r="H19" s="23" t="s">
        <v>340</v>
      </c>
      <c r="I19" s="23" t="s">
        <v>341</v>
      </c>
    </row>
    <row r="20" ht="60.0" customHeight="1">
      <c r="A20" s="16" t="s">
        <v>392</v>
      </c>
      <c r="B20" s="17" t="s">
        <v>365</v>
      </c>
      <c r="C20" s="48" t="s">
        <v>371</v>
      </c>
      <c r="D20" s="37"/>
      <c r="E20" s="38"/>
      <c r="F20" s="39" t="s">
        <v>171</v>
      </c>
      <c r="G20" s="39" t="s">
        <v>172</v>
      </c>
      <c r="H20" s="23" t="s">
        <v>173</v>
      </c>
      <c r="I20" s="23" t="s">
        <v>174</v>
      </c>
    </row>
    <row r="21" ht="60.0" customHeight="1">
      <c r="A21" s="16" t="s">
        <v>393</v>
      </c>
      <c r="B21" s="17" t="s">
        <v>365</v>
      </c>
      <c r="C21" s="48" t="s">
        <v>371</v>
      </c>
      <c r="D21" s="37"/>
      <c r="E21" s="23"/>
      <c r="F21" s="39" t="s">
        <v>180</v>
      </c>
      <c r="G21" s="39" t="s">
        <v>181</v>
      </c>
      <c r="H21" s="23" t="s">
        <v>182</v>
      </c>
      <c r="I21" s="23" t="s">
        <v>183</v>
      </c>
    </row>
    <row r="22" ht="60.0" customHeight="1">
      <c r="A22" s="16" t="s">
        <v>394</v>
      </c>
      <c r="B22" s="17" t="s">
        <v>205</v>
      </c>
      <c r="C22" s="48" t="s">
        <v>366</v>
      </c>
      <c r="D22" s="37"/>
      <c r="E22" s="38"/>
      <c r="F22" s="39"/>
      <c r="G22" s="39"/>
      <c r="H22" s="23"/>
      <c r="I22" s="23"/>
    </row>
    <row r="23" ht="60.0" customHeight="1">
      <c r="A23" s="36" t="s">
        <v>395</v>
      </c>
      <c r="B23" s="17" t="s">
        <v>205</v>
      </c>
      <c r="C23" s="48" t="s">
        <v>371</v>
      </c>
      <c r="D23" s="37"/>
      <c r="E23" s="38"/>
      <c r="F23" s="41"/>
      <c r="G23" s="41"/>
      <c r="H23" s="42"/>
      <c r="I23" s="38"/>
    </row>
    <row r="24" ht="60.0" customHeight="1">
      <c r="A24" s="36" t="s">
        <v>396</v>
      </c>
      <c r="B24" s="17" t="s">
        <v>205</v>
      </c>
      <c r="C24" s="48" t="s">
        <v>371</v>
      </c>
      <c r="D24" s="37"/>
      <c r="E24" s="38"/>
      <c r="F24" s="41"/>
      <c r="G24" s="41"/>
      <c r="H24" s="42"/>
      <c r="I24" s="38"/>
    </row>
    <row r="25" ht="60.0" customHeight="1">
      <c r="A25" s="36" t="s">
        <v>397</v>
      </c>
      <c r="B25" s="17" t="s">
        <v>205</v>
      </c>
      <c r="C25" s="48" t="s">
        <v>371</v>
      </c>
      <c r="D25" s="37"/>
      <c r="E25" s="38"/>
      <c r="F25" s="41"/>
      <c r="G25" s="41"/>
      <c r="H25" s="42"/>
      <c r="I25" s="38"/>
    </row>
    <row r="26" ht="60.0" customHeight="1">
      <c r="A26" s="36" t="s">
        <v>398</v>
      </c>
      <c r="B26" s="17" t="s">
        <v>205</v>
      </c>
      <c r="C26" s="48" t="s">
        <v>371</v>
      </c>
      <c r="D26" s="37"/>
      <c r="E26" s="38"/>
      <c r="F26" s="41"/>
      <c r="G26" s="41"/>
      <c r="H26" s="42"/>
      <c r="I26" s="38"/>
    </row>
    <row r="27" ht="60.0" customHeight="1">
      <c r="A27" s="36" t="s">
        <v>399</v>
      </c>
      <c r="B27" s="17" t="s">
        <v>205</v>
      </c>
      <c r="C27" s="48" t="s">
        <v>366</v>
      </c>
      <c r="D27" s="37"/>
      <c r="E27" s="38"/>
      <c r="F27" s="41"/>
      <c r="G27" s="41"/>
      <c r="H27" s="42"/>
      <c r="I27" s="38"/>
    </row>
    <row r="28" ht="60.0" customHeight="1">
      <c r="A28" s="36" t="s">
        <v>400</v>
      </c>
      <c r="B28" s="17" t="s">
        <v>205</v>
      </c>
      <c r="C28" s="48" t="s">
        <v>371</v>
      </c>
      <c r="D28" s="37"/>
      <c r="E28" s="38"/>
      <c r="F28" s="41"/>
      <c r="G28" s="41"/>
      <c r="H28" s="42"/>
      <c r="I28" s="38"/>
    </row>
    <row r="29" ht="60.0" customHeight="1">
      <c r="A29" s="82" t="s">
        <v>401</v>
      </c>
      <c r="B29" s="17" t="s">
        <v>205</v>
      </c>
      <c r="C29" s="48" t="s">
        <v>376</v>
      </c>
      <c r="D29" s="83"/>
      <c r="E29" s="38"/>
      <c r="F29" s="41"/>
      <c r="G29" s="41"/>
      <c r="H29" s="42"/>
      <c r="I29" s="38"/>
    </row>
    <row r="30" ht="60.0" customHeight="1">
      <c r="A30" s="82" t="s">
        <v>402</v>
      </c>
      <c r="B30" s="17" t="s">
        <v>205</v>
      </c>
      <c r="C30" s="48" t="s">
        <v>376</v>
      </c>
      <c r="D30" s="83"/>
      <c r="E30" s="38"/>
      <c r="F30" s="41"/>
      <c r="G30" s="41"/>
      <c r="H30" s="42"/>
      <c r="I30" s="38"/>
    </row>
    <row r="31" ht="60.0" customHeight="1">
      <c r="A31" s="82" t="s">
        <v>403</v>
      </c>
      <c r="B31" s="17" t="s">
        <v>205</v>
      </c>
      <c r="C31" s="48" t="s">
        <v>371</v>
      </c>
      <c r="D31" s="83"/>
      <c r="E31" s="38"/>
      <c r="F31" s="41"/>
      <c r="G31" s="41"/>
      <c r="H31" s="42"/>
      <c r="I31" s="38"/>
    </row>
    <row r="32" ht="60.0" customHeight="1">
      <c r="A32" s="82" t="s">
        <v>404</v>
      </c>
      <c r="B32" s="17" t="s">
        <v>205</v>
      </c>
      <c r="C32" s="48" t="s">
        <v>371</v>
      </c>
      <c r="D32" s="83"/>
      <c r="E32" s="38"/>
      <c r="F32" s="41"/>
      <c r="G32" s="41"/>
      <c r="H32" s="42"/>
      <c r="I32" s="38"/>
    </row>
    <row r="33" ht="60.0" customHeight="1">
      <c r="A33" s="82" t="s">
        <v>405</v>
      </c>
      <c r="B33" s="17" t="s">
        <v>205</v>
      </c>
      <c r="C33" s="48" t="s">
        <v>371</v>
      </c>
      <c r="D33" s="83"/>
      <c r="E33" s="38"/>
      <c r="F33" s="41"/>
      <c r="G33" s="41"/>
      <c r="H33" s="42"/>
      <c r="I33" s="38"/>
    </row>
    <row r="34" ht="60.0" customHeight="1">
      <c r="A34" s="82" t="s">
        <v>406</v>
      </c>
      <c r="B34" s="17" t="s">
        <v>205</v>
      </c>
      <c r="C34" s="48" t="s">
        <v>376</v>
      </c>
      <c r="D34" s="83"/>
      <c r="E34" s="38"/>
      <c r="F34" s="41"/>
      <c r="G34" s="41"/>
      <c r="H34" s="42"/>
      <c r="I34" s="38"/>
    </row>
    <row r="35" ht="60.0" customHeight="1">
      <c r="A35" s="82" t="s">
        <v>407</v>
      </c>
      <c r="B35" s="17" t="s">
        <v>205</v>
      </c>
      <c r="C35" s="48" t="s">
        <v>376</v>
      </c>
      <c r="D35" s="83"/>
      <c r="E35" s="38"/>
      <c r="F35" s="41"/>
      <c r="G35" s="41"/>
      <c r="H35" s="42"/>
      <c r="I35" s="38"/>
    </row>
    <row r="36" ht="60.0" customHeight="1">
      <c r="A36" s="82" t="s">
        <v>408</v>
      </c>
      <c r="B36" s="17" t="s">
        <v>205</v>
      </c>
      <c r="C36" s="48" t="s">
        <v>371</v>
      </c>
      <c r="D36" s="83"/>
      <c r="E36" s="38"/>
      <c r="F36" s="41"/>
      <c r="G36" s="41"/>
      <c r="H36" s="42"/>
      <c r="I36" s="38"/>
    </row>
    <row r="37" ht="60.0" customHeight="1">
      <c r="A37" s="82" t="s">
        <v>409</v>
      </c>
      <c r="B37" s="17" t="s">
        <v>205</v>
      </c>
      <c r="C37" s="48" t="s">
        <v>366</v>
      </c>
      <c r="D37" s="83"/>
      <c r="E37" s="38"/>
      <c r="F37" s="41"/>
      <c r="G37" s="41"/>
      <c r="H37" s="42"/>
      <c r="I37" s="38"/>
    </row>
    <row r="38" ht="60.0" customHeight="1">
      <c r="A38" s="82" t="s">
        <v>410</v>
      </c>
      <c r="B38" s="17" t="s">
        <v>205</v>
      </c>
      <c r="C38" s="48" t="s">
        <v>371</v>
      </c>
      <c r="D38" s="83"/>
      <c r="E38" s="38"/>
      <c r="F38" s="41"/>
      <c r="G38" s="41"/>
      <c r="H38" s="42"/>
      <c r="I38" s="38"/>
    </row>
    <row r="39" ht="60.0" customHeight="1">
      <c r="A39" s="82" t="s">
        <v>411</v>
      </c>
      <c r="B39" s="17" t="s">
        <v>205</v>
      </c>
      <c r="C39" s="48" t="s">
        <v>366</v>
      </c>
      <c r="D39" s="83"/>
      <c r="E39" s="38"/>
      <c r="F39" s="41"/>
      <c r="G39" s="41"/>
      <c r="H39" s="42"/>
      <c r="I39" s="38"/>
    </row>
    <row r="40" ht="60.0" customHeight="1">
      <c r="A40" s="82" t="s">
        <v>412</v>
      </c>
      <c r="B40" s="17" t="s">
        <v>205</v>
      </c>
      <c r="C40" s="48" t="s">
        <v>366</v>
      </c>
      <c r="D40" s="83"/>
      <c r="E40" s="38"/>
      <c r="F40" s="41"/>
      <c r="G40" s="41"/>
      <c r="H40" s="42"/>
      <c r="I40" s="38"/>
    </row>
    <row r="41" ht="60.0" customHeight="1">
      <c r="A41" s="82" t="s">
        <v>413</v>
      </c>
      <c r="B41" s="17" t="s">
        <v>205</v>
      </c>
      <c r="C41" s="48" t="s">
        <v>371</v>
      </c>
      <c r="D41" s="83"/>
      <c r="E41" s="38"/>
      <c r="F41" s="41"/>
      <c r="G41" s="41"/>
      <c r="H41" s="42"/>
      <c r="I41" s="38"/>
    </row>
    <row r="42" ht="60.0" customHeight="1">
      <c r="A42" s="82" t="s">
        <v>414</v>
      </c>
      <c r="B42" s="17" t="s">
        <v>151</v>
      </c>
      <c r="C42" s="48" t="s">
        <v>371</v>
      </c>
      <c r="D42" s="83"/>
      <c r="E42" s="38"/>
      <c r="F42" s="41"/>
      <c r="G42" s="41"/>
      <c r="H42" s="42"/>
      <c r="I42" s="38"/>
    </row>
    <row r="43" ht="60.0" customHeight="1">
      <c r="A43" s="84" t="s">
        <v>415</v>
      </c>
      <c r="B43" s="17" t="s">
        <v>151</v>
      </c>
      <c r="C43" s="48" t="s">
        <v>371</v>
      </c>
      <c r="D43" s="75"/>
      <c r="E43" s="38"/>
      <c r="F43" s="41"/>
      <c r="G43" s="41"/>
      <c r="H43" s="51"/>
      <c r="I43" s="38"/>
    </row>
    <row r="44" ht="60.0" customHeight="1">
      <c r="A44" s="48" t="s">
        <v>416</v>
      </c>
      <c r="B44" s="17" t="s">
        <v>151</v>
      </c>
      <c r="C44" s="48" t="s">
        <v>371</v>
      </c>
      <c r="D44" s="35"/>
      <c r="E44" s="38"/>
      <c r="H44" s="85"/>
      <c r="I44" s="57"/>
    </row>
    <row r="45" ht="60.0" customHeight="1">
      <c r="A45" s="48" t="s">
        <v>417</v>
      </c>
      <c r="B45" s="17" t="s">
        <v>151</v>
      </c>
      <c r="C45" s="48" t="s">
        <v>371</v>
      </c>
      <c r="D45" s="35"/>
      <c r="E45" s="38"/>
      <c r="H45" s="85"/>
      <c r="I45" s="57"/>
    </row>
    <row r="46" ht="60.0" customHeight="1">
      <c r="A46" s="48" t="s">
        <v>418</v>
      </c>
      <c r="B46" s="17" t="s">
        <v>151</v>
      </c>
      <c r="C46" s="48" t="s">
        <v>371</v>
      </c>
      <c r="D46" s="35"/>
      <c r="E46" s="38"/>
      <c r="H46" s="85"/>
      <c r="I46" s="57"/>
    </row>
    <row r="47" ht="60.0" customHeight="1">
      <c r="A47" s="48" t="s">
        <v>419</v>
      </c>
      <c r="B47" s="17" t="s">
        <v>151</v>
      </c>
      <c r="C47" s="48" t="s">
        <v>376</v>
      </c>
      <c r="D47" s="35"/>
      <c r="E47" s="38"/>
      <c r="H47" s="85"/>
      <c r="I47" s="57"/>
    </row>
    <row r="48" ht="60.0" customHeight="1">
      <c r="A48" s="48" t="s">
        <v>420</v>
      </c>
      <c r="B48" s="17" t="s">
        <v>151</v>
      </c>
      <c r="C48" s="48" t="s">
        <v>376</v>
      </c>
      <c r="D48" s="35"/>
      <c r="E48" s="38"/>
      <c r="H48" s="85"/>
      <c r="I48" s="57"/>
    </row>
    <row r="49" ht="60.0" customHeight="1">
      <c r="A49" s="48" t="s">
        <v>421</v>
      </c>
      <c r="B49" s="17" t="s">
        <v>151</v>
      </c>
      <c r="C49" s="48" t="s">
        <v>366</v>
      </c>
      <c r="D49" s="35"/>
      <c r="E49" s="38"/>
      <c r="H49" s="85"/>
      <c r="I49" s="57"/>
    </row>
    <row r="50" ht="60.0" customHeight="1">
      <c r="A50" s="48" t="s">
        <v>422</v>
      </c>
      <c r="B50" s="17" t="s">
        <v>151</v>
      </c>
      <c r="C50" s="48" t="s">
        <v>376</v>
      </c>
      <c r="D50" s="35"/>
      <c r="E50" s="38"/>
      <c r="H50" s="85"/>
      <c r="I50" s="57"/>
    </row>
    <row r="51" ht="60.0" customHeight="1">
      <c r="A51" s="48" t="s">
        <v>423</v>
      </c>
      <c r="B51" s="17" t="s">
        <v>151</v>
      </c>
      <c r="C51" s="48" t="s">
        <v>371</v>
      </c>
      <c r="D51" s="35"/>
      <c r="E51" s="38"/>
      <c r="H51" s="85"/>
      <c r="I51" s="57"/>
    </row>
    <row r="52" ht="60.0" customHeight="1">
      <c r="A52" s="48" t="s">
        <v>424</v>
      </c>
      <c r="B52" s="17" t="s">
        <v>151</v>
      </c>
      <c r="C52" s="48" t="s">
        <v>376</v>
      </c>
      <c r="D52" s="35"/>
      <c r="E52" s="38"/>
      <c r="H52" s="85"/>
      <c r="I52" s="57"/>
    </row>
    <row r="53" ht="60.0" customHeight="1">
      <c r="A53" s="48" t="s">
        <v>415</v>
      </c>
      <c r="B53" s="17" t="s">
        <v>151</v>
      </c>
      <c r="C53" s="48" t="s">
        <v>376</v>
      </c>
      <c r="D53" s="35"/>
      <c r="E53" s="38"/>
      <c r="H53" s="85"/>
      <c r="I53" s="57"/>
    </row>
    <row r="54" ht="60.0" customHeight="1">
      <c r="A54" s="48" t="s">
        <v>416</v>
      </c>
      <c r="B54" s="17" t="s">
        <v>151</v>
      </c>
      <c r="C54" s="48" t="s">
        <v>376</v>
      </c>
      <c r="D54" s="35"/>
      <c r="E54" s="38"/>
      <c r="H54" s="85"/>
      <c r="I54" s="57"/>
    </row>
    <row r="55" ht="60.0" customHeight="1">
      <c r="A55" s="48" t="s">
        <v>425</v>
      </c>
      <c r="B55" s="17" t="s">
        <v>151</v>
      </c>
      <c r="C55" s="48" t="s">
        <v>376</v>
      </c>
      <c r="D55" s="35"/>
      <c r="E55" s="38"/>
      <c r="H55" s="85"/>
      <c r="I55" s="57"/>
    </row>
    <row r="56" ht="60.0" customHeight="1">
      <c r="A56" s="48" t="s">
        <v>426</v>
      </c>
      <c r="B56" s="17" t="s">
        <v>151</v>
      </c>
      <c r="C56" s="48" t="s">
        <v>371</v>
      </c>
      <c r="D56" s="35"/>
      <c r="E56" s="38"/>
      <c r="H56" s="85"/>
      <c r="I56" s="57"/>
    </row>
    <row r="57" ht="60.0" customHeight="1">
      <c r="A57" s="48" t="s">
        <v>427</v>
      </c>
      <c r="B57" s="17" t="s">
        <v>151</v>
      </c>
      <c r="C57" s="48" t="s">
        <v>371</v>
      </c>
      <c r="D57" s="35"/>
      <c r="E57" s="38"/>
      <c r="H57" s="85"/>
      <c r="I57" s="57"/>
    </row>
    <row r="58" ht="60.0" customHeight="1">
      <c r="A58" s="48" t="s">
        <v>428</v>
      </c>
      <c r="B58" s="17" t="s">
        <v>151</v>
      </c>
      <c r="C58" s="48" t="s">
        <v>366</v>
      </c>
      <c r="D58" s="35"/>
      <c r="E58" s="38"/>
      <c r="H58" s="85"/>
      <c r="I58" s="57"/>
    </row>
    <row r="59" ht="60.0" customHeight="1">
      <c r="A59" s="48" t="s">
        <v>421</v>
      </c>
      <c r="B59" s="17" t="s">
        <v>151</v>
      </c>
      <c r="C59" s="48" t="s">
        <v>376</v>
      </c>
      <c r="D59" s="35"/>
      <c r="E59" s="38"/>
      <c r="H59" s="85"/>
      <c r="I59" s="57"/>
    </row>
    <row r="60" ht="60.0" customHeight="1">
      <c r="A60" s="48" t="s">
        <v>429</v>
      </c>
      <c r="B60" s="17" t="s">
        <v>151</v>
      </c>
      <c r="C60" s="48" t="s">
        <v>376</v>
      </c>
      <c r="D60" s="35"/>
      <c r="E60" s="38"/>
      <c r="H60" s="85"/>
      <c r="I60" s="57"/>
    </row>
    <row r="61" ht="60.0" customHeight="1">
      <c r="A61" s="48" t="s">
        <v>423</v>
      </c>
      <c r="B61" s="17" t="s">
        <v>151</v>
      </c>
      <c r="C61" s="48" t="s">
        <v>376</v>
      </c>
      <c r="D61" s="35"/>
      <c r="E61" s="38"/>
      <c r="H61" s="85"/>
      <c r="I61" s="57"/>
    </row>
    <row r="62" ht="60.0" customHeight="1">
      <c r="A62" s="48" t="s">
        <v>430</v>
      </c>
      <c r="B62" s="17" t="s">
        <v>431</v>
      </c>
      <c r="C62" s="48" t="s">
        <v>366</v>
      </c>
      <c r="D62" s="35"/>
      <c r="E62" s="38"/>
      <c r="H62" s="85"/>
      <c r="I62" s="57"/>
    </row>
    <row r="63" ht="60.0" customHeight="1">
      <c r="A63" s="48" t="s">
        <v>432</v>
      </c>
      <c r="B63" s="17" t="s">
        <v>431</v>
      </c>
      <c r="C63" s="48" t="s">
        <v>366</v>
      </c>
      <c r="D63" s="35"/>
      <c r="E63" s="38"/>
      <c r="H63" s="85"/>
      <c r="I63" s="57"/>
    </row>
    <row r="64" ht="60.0" customHeight="1">
      <c r="A64" s="48" t="s">
        <v>433</v>
      </c>
      <c r="B64" s="17" t="s">
        <v>431</v>
      </c>
      <c r="C64" s="48" t="s">
        <v>366</v>
      </c>
      <c r="D64" s="35"/>
      <c r="E64" s="38"/>
      <c r="H64" s="85"/>
      <c r="I64" s="57"/>
    </row>
    <row r="65" ht="60.0" customHeight="1">
      <c r="A65" s="48" t="s">
        <v>434</v>
      </c>
      <c r="B65" s="17" t="s">
        <v>431</v>
      </c>
      <c r="C65" s="48" t="s">
        <v>371</v>
      </c>
      <c r="D65" s="35"/>
      <c r="E65" s="38"/>
      <c r="H65" s="85"/>
      <c r="I65" s="57"/>
    </row>
    <row r="66" ht="60.0" customHeight="1">
      <c r="A66" s="48" t="s">
        <v>435</v>
      </c>
      <c r="B66" s="17" t="s">
        <v>431</v>
      </c>
      <c r="C66" s="48" t="s">
        <v>371</v>
      </c>
      <c r="D66" s="35"/>
      <c r="E66" s="38"/>
      <c r="H66" s="85"/>
      <c r="I66" s="57"/>
    </row>
    <row r="67" ht="60.0" customHeight="1">
      <c r="A67" s="48" t="s">
        <v>436</v>
      </c>
      <c r="B67" s="17" t="s">
        <v>431</v>
      </c>
      <c r="C67" s="48"/>
      <c r="D67" s="35"/>
      <c r="E67" s="38"/>
      <c r="H67" s="85"/>
      <c r="I67" s="57"/>
    </row>
    <row r="68" ht="60.0" customHeight="1">
      <c r="A68" s="48" t="s">
        <v>437</v>
      </c>
      <c r="B68" s="17" t="s">
        <v>431</v>
      </c>
      <c r="C68" s="48"/>
      <c r="D68" s="35"/>
      <c r="E68" s="38"/>
      <c r="H68" s="85"/>
      <c r="I68" s="57"/>
    </row>
    <row r="69" ht="60.0" customHeight="1">
      <c r="A69" s="48" t="s">
        <v>438</v>
      </c>
      <c r="B69" s="17" t="s">
        <v>431</v>
      </c>
      <c r="C69" s="48"/>
      <c r="D69" s="35"/>
      <c r="E69" s="38"/>
      <c r="H69" s="85"/>
      <c r="I69" s="57"/>
    </row>
    <row r="70" ht="60.0" customHeight="1">
      <c r="A70" s="48" t="s">
        <v>439</v>
      </c>
      <c r="B70" s="17" t="s">
        <v>431</v>
      </c>
      <c r="C70" s="48"/>
      <c r="D70" s="35"/>
      <c r="E70" s="38"/>
      <c r="H70" s="85"/>
      <c r="I70" s="57"/>
    </row>
    <row r="71" ht="60.0" customHeight="1">
      <c r="A71" s="48" t="s">
        <v>440</v>
      </c>
      <c r="B71" s="17" t="s">
        <v>431</v>
      </c>
      <c r="C71" s="48"/>
      <c r="D71" s="35"/>
      <c r="E71" s="38"/>
      <c r="H71" s="85"/>
      <c r="I71" s="57"/>
    </row>
    <row r="72" ht="60.0" customHeight="1">
      <c r="A72" s="48" t="s">
        <v>441</v>
      </c>
      <c r="B72" s="17" t="s">
        <v>431</v>
      </c>
      <c r="C72" s="48"/>
      <c r="D72" s="35"/>
      <c r="E72" s="38"/>
      <c r="H72" s="85"/>
      <c r="I72" s="57"/>
    </row>
    <row r="73" ht="60.0" customHeight="1">
      <c r="A73" s="48" t="s">
        <v>442</v>
      </c>
      <c r="B73" s="17" t="s">
        <v>431</v>
      </c>
      <c r="C73" s="48"/>
      <c r="D73" s="35"/>
      <c r="E73" s="38"/>
      <c r="H73" s="85"/>
      <c r="I73" s="57"/>
    </row>
    <row r="74" ht="60.0" customHeight="1">
      <c r="A74" s="48" t="s">
        <v>443</v>
      </c>
      <c r="B74" s="17" t="s">
        <v>431</v>
      </c>
      <c r="C74" s="48"/>
      <c r="D74" s="35"/>
      <c r="E74" s="38"/>
      <c r="H74" s="85"/>
      <c r="I74" s="57"/>
    </row>
    <row r="75" ht="60.0" customHeight="1">
      <c r="A75" s="48" t="s">
        <v>444</v>
      </c>
      <c r="B75" s="17" t="s">
        <v>431</v>
      </c>
      <c r="C75" s="48"/>
      <c r="D75" s="35"/>
      <c r="E75" s="38"/>
      <c r="H75" s="85"/>
      <c r="I75" s="57"/>
    </row>
    <row r="76" ht="60.0" customHeight="1">
      <c r="A76" s="48" t="s">
        <v>445</v>
      </c>
      <c r="B76" s="17" t="s">
        <v>431</v>
      </c>
      <c r="C76" s="48"/>
      <c r="D76" s="35"/>
      <c r="E76" s="38"/>
      <c r="H76" s="85"/>
      <c r="I76" s="57"/>
    </row>
    <row r="77" ht="60.0" customHeight="1">
      <c r="A77" s="48" t="s">
        <v>446</v>
      </c>
      <c r="B77" s="17" t="s">
        <v>431</v>
      </c>
      <c r="C77" s="48"/>
      <c r="D77" s="35"/>
      <c r="E77" s="38"/>
      <c r="H77" s="85"/>
      <c r="I77" s="57"/>
    </row>
    <row r="78" ht="60.0" customHeight="1">
      <c r="A78" s="48" t="s">
        <v>447</v>
      </c>
      <c r="B78" s="17" t="s">
        <v>431</v>
      </c>
      <c r="C78" s="48"/>
      <c r="D78" s="35"/>
      <c r="E78" s="38"/>
      <c r="H78" s="85"/>
      <c r="I78" s="57"/>
    </row>
    <row r="79" ht="60.0" customHeight="1">
      <c r="A79" s="48" t="s">
        <v>448</v>
      </c>
      <c r="B79" s="17" t="s">
        <v>431</v>
      </c>
      <c r="C79" s="48"/>
      <c r="D79" s="35"/>
      <c r="E79" s="38"/>
      <c r="H79" s="85"/>
      <c r="I79" s="57"/>
    </row>
    <row r="80" ht="60.0" customHeight="1">
      <c r="A80" s="48" t="s">
        <v>449</v>
      </c>
      <c r="B80" s="17" t="s">
        <v>431</v>
      </c>
      <c r="C80" s="48"/>
      <c r="D80" s="35"/>
      <c r="E80" s="38"/>
      <c r="H80" s="85"/>
      <c r="I80" s="57"/>
    </row>
    <row r="81" ht="60.0" customHeight="1">
      <c r="A81" s="48" t="s">
        <v>450</v>
      </c>
      <c r="B81" s="17" t="s">
        <v>431</v>
      </c>
      <c r="C81" s="48"/>
      <c r="D81" s="35"/>
      <c r="E81" s="38"/>
      <c r="H81" s="85"/>
      <c r="I81" s="57"/>
    </row>
    <row r="82" ht="60.0" customHeight="1">
      <c r="A82" s="48" t="s">
        <v>451</v>
      </c>
      <c r="B82" s="17" t="s">
        <v>431</v>
      </c>
      <c r="C82" s="48"/>
      <c r="D82" s="35"/>
      <c r="E82" s="38"/>
      <c r="H82" s="85"/>
      <c r="I82" s="57"/>
    </row>
    <row r="83" ht="60.0" customHeight="1">
      <c r="A83" s="48" t="s">
        <v>452</v>
      </c>
      <c r="B83" s="17" t="s">
        <v>431</v>
      </c>
      <c r="C83" s="48"/>
      <c r="D83" s="35"/>
      <c r="E83" s="38"/>
      <c r="H83" s="85"/>
      <c r="I83" s="57"/>
    </row>
    <row r="84" ht="60.0" customHeight="1">
      <c r="A84" s="48" t="s">
        <v>453</v>
      </c>
      <c r="B84" s="17" t="s">
        <v>431</v>
      </c>
      <c r="C84" s="48"/>
      <c r="D84" s="35"/>
      <c r="E84" s="38"/>
      <c r="H84" s="85"/>
      <c r="I84" s="57"/>
    </row>
    <row r="85" ht="60.0" customHeight="1">
      <c r="A85" s="48" t="s">
        <v>454</v>
      </c>
      <c r="B85" s="17" t="s">
        <v>431</v>
      </c>
      <c r="C85" s="48"/>
      <c r="D85" s="35"/>
      <c r="E85" s="38"/>
      <c r="H85" s="85"/>
      <c r="I85" s="57"/>
    </row>
    <row r="86" ht="60.0" customHeight="1">
      <c r="A86" s="86" t="s">
        <v>455</v>
      </c>
      <c r="B86" s="17" t="s">
        <v>431</v>
      </c>
      <c r="C86" s="48"/>
      <c r="D86" s="35"/>
      <c r="E86" s="38"/>
      <c r="H86" s="85"/>
      <c r="I86" s="57"/>
    </row>
    <row r="87" ht="60.0" customHeight="1">
      <c r="A87" s="86" t="s">
        <v>456</v>
      </c>
      <c r="B87" s="17" t="s">
        <v>431</v>
      </c>
      <c r="C87" s="48"/>
      <c r="D87" s="35"/>
      <c r="E87" s="38"/>
      <c r="H87" s="85"/>
      <c r="I87" s="57"/>
    </row>
    <row r="88" ht="60.0" customHeight="1">
      <c r="A88" s="86" t="s">
        <v>457</v>
      </c>
      <c r="B88" s="17" t="s">
        <v>431</v>
      </c>
      <c r="C88" s="48"/>
      <c r="D88" s="35"/>
      <c r="E88" s="38"/>
      <c r="H88" s="85"/>
      <c r="I88" s="57"/>
    </row>
    <row r="89" ht="60.0" customHeight="1">
      <c r="A89" s="86" t="s">
        <v>458</v>
      </c>
      <c r="B89" s="17" t="s">
        <v>431</v>
      </c>
      <c r="C89" s="48"/>
      <c r="D89" s="35"/>
      <c r="E89" s="38"/>
      <c r="H89" s="85"/>
      <c r="I89" s="57"/>
    </row>
    <row r="90" ht="60.0" customHeight="1">
      <c r="A90" s="86" t="s">
        <v>459</v>
      </c>
      <c r="B90" s="17" t="s">
        <v>431</v>
      </c>
      <c r="C90" s="48"/>
      <c r="D90" s="35"/>
      <c r="E90" s="38"/>
      <c r="H90" s="85"/>
      <c r="I90" s="57"/>
    </row>
    <row r="91" ht="60.0" customHeight="1">
      <c r="A91" s="86" t="s">
        <v>460</v>
      </c>
      <c r="B91" s="17" t="s">
        <v>431</v>
      </c>
      <c r="C91" s="48"/>
      <c r="D91" s="35"/>
      <c r="E91" s="38"/>
      <c r="H91" s="85"/>
      <c r="I91" s="57"/>
    </row>
    <row r="92">
      <c r="C92" s="87"/>
      <c r="D92" s="56"/>
      <c r="E92" s="57"/>
      <c r="H92" s="57"/>
      <c r="I92" s="57"/>
    </row>
    <row r="93">
      <c r="C93" s="87"/>
      <c r="D93" s="56"/>
      <c r="E93" s="57"/>
      <c r="H93" s="57"/>
      <c r="I93" s="57"/>
    </row>
    <row r="94">
      <c r="C94" s="87"/>
      <c r="D94" s="56"/>
      <c r="E94" s="57"/>
      <c r="H94" s="57"/>
      <c r="I94" s="57"/>
    </row>
    <row r="95">
      <c r="C95" s="87"/>
      <c r="D95" s="56"/>
      <c r="E95" s="57"/>
      <c r="H95" s="57"/>
      <c r="I95" s="57"/>
    </row>
    <row r="96">
      <c r="C96" s="87"/>
      <c r="D96" s="56"/>
      <c r="E96" s="57"/>
      <c r="H96" s="57"/>
      <c r="I96" s="57"/>
    </row>
    <row r="97">
      <c r="C97" s="87"/>
      <c r="D97" s="56"/>
      <c r="E97" s="57"/>
      <c r="H97" s="57"/>
      <c r="I97" s="57"/>
    </row>
    <row r="98">
      <c r="A98" s="55"/>
      <c r="C98" s="87"/>
      <c r="D98" s="56"/>
      <c r="E98" s="57"/>
      <c r="H98" s="57"/>
      <c r="I98" s="57"/>
    </row>
    <row r="99">
      <c r="A99" s="55"/>
      <c r="C99" s="87"/>
      <c r="D99" s="56"/>
      <c r="E99" s="57"/>
      <c r="H99" s="57"/>
      <c r="I99" s="57"/>
    </row>
    <row r="100">
      <c r="A100" s="55"/>
      <c r="C100" s="87"/>
      <c r="D100" s="56"/>
      <c r="E100" s="57"/>
      <c r="H100" s="57"/>
      <c r="I100" s="57"/>
    </row>
    <row r="101">
      <c r="A101" s="55"/>
      <c r="C101" s="87"/>
      <c r="D101" s="56"/>
      <c r="E101" s="57"/>
      <c r="H101" s="57"/>
      <c r="I101" s="57"/>
    </row>
    <row r="102">
      <c r="A102" s="55"/>
      <c r="C102" s="87"/>
      <c r="D102" s="56"/>
      <c r="E102" s="57"/>
      <c r="H102" s="57"/>
      <c r="I102" s="57"/>
    </row>
    <row r="103">
      <c r="A103" s="55"/>
      <c r="C103" s="87"/>
      <c r="D103" s="56"/>
      <c r="E103" s="57"/>
      <c r="H103" s="57"/>
      <c r="I103" s="57"/>
    </row>
    <row r="104">
      <c r="A104" s="55"/>
      <c r="C104" s="87"/>
      <c r="D104" s="56"/>
      <c r="E104" s="57"/>
      <c r="H104" s="57"/>
      <c r="I104" s="57"/>
    </row>
    <row r="105">
      <c r="A105" s="55"/>
      <c r="C105" s="87"/>
      <c r="D105" s="56"/>
      <c r="E105" s="57"/>
      <c r="H105" s="57"/>
      <c r="I105" s="57"/>
    </row>
    <row r="106">
      <c r="A106" s="55"/>
      <c r="C106" s="87"/>
      <c r="D106" s="56"/>
      <c r="E106" s="57"/>
      <c r="H106" s="57"/>
      <c r="I106" s="57"/>
    </row>
    <row r="107">
      <c r="A107" s="55"/>
      <c r="C107" s="87"/>
      <c r="D107" s="56"/>
      <c r="E107" s="57"/>
      <c r="H107" s="57"/>
      <c r="I107" s="57"/>
    </row>
    <row r="108">
      <c r="A108" s="55"/>
      <c r="C108" s="87"/>
      <c r="D108" s="56"/>
      <c r="E108" s="57"/>
      <c r="H108" s="57"/>
      <c r="I108" s="57"/>
    </row>
    <row r="109">
      <c r="A109" s="55"/>
      <c r="C109" s="87"/>
      <c r="D109" s="56"/>
      <c r="E109" s="57"/>
      <c r="H109" s="57"/>
      <c r="I109" s="57"/>
    </row>
    <row r="110">
      <c r="A110" s="55"/>
      <c r="C110" s="87"/>
      <c r="D110" s="56"/>
      <c r="E110" s="57"/>
      <c r="H110" s="57"/>
      <c r="I110" s="57"/>
    </row>
    <row r="111">
      <c r="A111" s="55"/>
      <c r="C111" s="87"/>
      <c r="D111" s="56"/>
      <c r="E111" s="57"/>
      <c r="H111" s="57"/>
      <c r="I111" s="57"/>
    </row>
    <row r="112">
      <c r="A112" s="55"/>
      <c r="C112" s="87"/>
      <c r="D112" s="56"/>
      <c r="E112" s="57"/>
      <c r="H112" s="57"/>
      <c r="I112" s="57"/>
    </row>
    <row r="113">
      <c r="A113" s="55"/>
      <c r="C113" s="87"/>
      <c r="D113" s="56"/>
      <c r="E113" s="57"/>
      <c r="H113" s="57"/>
      <c r="I113" s="57"/>
    </row>
    <row r="114">
      <c r="A114" s="55"/>
      <c r="C114" s="87"/>
      <c r="D114" s="56"/>
      <c r="E114" s="57"/>
      <c r="H114" s="57"/>
      <c r="I114" s="57"/>
    </row>
    <row r="115">
      <c r="A115" s="55"/>
      <c r="C115" s="87"/>
      <c r="D115" s="56"/>
      <c r="E115" s="57"/>
      <c r="H115" s="57"/>
      <c r="I115" s="57"/>
    </row>
    <row r="116">
      <c r="A116" s="55"/>
      <c r="C116" s="87"/>
      <c r="D116" s="56"/>
      <c r="E116" s="57"/>
      <c r="H116" s="57"/>
      <c r="I116" s="57"/>
    </row>
    <row r="117">
      <c r="A117" s="55"/>
      <c r="C117" s="87"/>
      <c r="D117" s="56"/>
      <c r="E117" s="57"/>
      <c r="H117" s="57"/>
      <c r="I117" s="57"/>
    </row>
    <row r="118">
      <c r="A118" s="55"/>
      <c r="C118" s="87"/>
      <c r="D118" s="56"/>
      <c r="E118" s="57"/>
      <c r="H118" s="57"/>
      <c r="I118" s="57"/>
    </row>
    <row r="119">
      <c r="A119" s="55"/>
      <c r="C119" s="87"/>
      <c r="D119" s="56"/>
      <c r="E119" s="57"/>
      <c r="H119" s="57"/>
      <c r="I119" s="57"/>
    </row>
    <row r="120">
      <c r="A120" s="55"/>
      <c r="C120" s="87"/>
      <c r="D120" s="56"/>
      <c r="E120" s="57"/>
      <c r="H120" s="57"/>
      <c r="I120" s="57"/>
    </row>
    <row r="121">
      <c r="A121" s="55"/>
      <c r="C121" s="87"/>
      <c r="D121" s="56"/>
      <c r="E121" s="57"/>
      <c r="H121" s="57"/>
      <c r="I121" s="57"/>
    </row>
    <row r="122">
      <c r="A122" s="55"/>
      <c r="C122" s="87"/>
      <c r="D122" s="56"/>
      <c r="E122" s="57"/>
      <c r="H122" s="57"/>
      <c r="I122" s="57"/>
    </row>
    <row r="123">
      <c r="A123" s="55"/>
      <c r="C123" s="87"/>
      <c r="D123" s="56"/>
      <c r="E123" s="57"/>
      <c r="H123" s="57"/>
      <c r="I123" s="57"/>
    </row>
    <row r="124">
      <c r="A124" s="55"/>
      <c r="C124" s="87"/>
      <c r="D124" s="56"/>
      <c r="E124" s="57"/>
      <c r="H124" s="57"/>
      <c r="I124" s="57"/>
    </row>
    <row r="125">
      <c r="A125" s="55"/>
      <c r="C125" s="87"/>
      <c r="D125" s="56"/>
      <c r="E125" s="57"/>
      <c r="H125" s="57"/>
      <c r="I125" s="57"/>
    </row>
    <row r="126">
      <c r="A126" s="55"/>
      <c r="C126" s="87"/>
      <c r="D126" s="56"/>
      <c r="E126" s="57"/>
      <c r="H126" s="57"/>
      <c r="I126" s="57"/>
    </row>
    <row r="127">
      <c r="A127" s="55"/>
      <c r="C127" s="87"/>
      <c r="D127" s="56"/>
      <c r="E127" s="57"/>
      <c r="H127" s="57"/>
      <c r="I127" s="57"/>
    </row>
    <row r="128">
      <c r="A128" s="55"/>
      <c r="C128" s="87"/>
      <c r="D128" s="56"/>
      <c r="E128" s="57"/>
      <c r="H128" s="57"/>
      <c r="I128" s="57"/>
    </row>
    <row r="129">
      <c r="A129" s="55"/>
      <c r="C129" s="87"/>
      <c r="D129" s="56"/>
      <c r="E129" s="57"/>
      <c r="H129" s="57"/>
      <c r="I129" s="57"/>
    </row>
    <row r="130">
      <c r="A130" s="55"/>
      <c r="C130" s="87"/>
      <c r="D130" s="56"/>
      <c r="E130" s="57"/>
      <c r="H130" s="57"/>
      <c r="I130" s="57"/>
    </row>
    <row r="131">
      <c r="A131" s="55"/>
      <c r="C131" s="87"/>
      <c r="D131" s="56"/>
      <c r="E131" s="57"/>
      <c r="H131" s="57"/>
      <c r="I131" s="57"/>
    </row>
    <row r="132">
      <c r="A132" s="55"/>
      <c r="C132" s="87"/>
      <c r="D132" s="56"/>
      <c r="E132" s="57"/>
      <c r="H132" s="57"/>
      <c r="I132" s="57"/>
    </row>
    <row r="133">
      <c r="A133" s="55"/>
      <c r="C133" s="87"/>
      <c r="D133" s="56"/>
      <c r="E133" s="57"/>
      <c r="H133" s="57"/>
      <c r="I133" s="57"/>
    </row>
    <row r="134">
      <c r="A134" s="55"/>
      <c r="C134" s="87"/>
      <c r="D134" s="56"/>
      <c r="E134" s="57"/>
      <c r="H134" s="57"/>
      <c r="I134" s="57"/>
    </row>
    <row r="135">
      <c r="A135" s="55"/>
      <c r="C135" s="87"/>
      <c r="D135" s="56"/>
      <c r="E135" s="57"/>
      <c r="H135" s="57"/>
      <c r="I135" s="57"/>
    </row>
    <row r="136">
      <c r="A136" s="55"/>
      <c r="C136" s="87"/>
      <c r="D136" s="56"/>
      <c r="E136" s="57"/>
      <c r="H136" s="57"/>
      <c r="I136" s="57"/>
    </row>
    <row r="137">
      <c r="A137" s="55"/>
      <c r="C137" s="87"/>
      <c r="D137" s="56"/>
      <c r="E137" s="57"/>
      <c r="H137" s="57"/>
      <c r="I137" s="57"/>
    </row>
    <row r="138">
      <c r="A138" s="55"/>
      <c r="C138" s="87"/>
      <c r="D138" s="56"/>
      <c r="E138" s="57"/>
      <c r="H138" s="57"/>
      <c r="I138" s="57"/>
    </row>
    <row r="139">
      <c r="A139" s="55"/>
      <c r="C139" s="87"/>
      <c r="D139" s="56"/>
      <c r="E139" s="57"/>
      <c r="H139" s="57"/>
      <c r="I139" s="57"/>
    </row>
    <row r="140">
      <c r="A140" s="55"/>
      <c r="C140" s="87"/>
      <c r="D140" s="56"/>
      <c r="E140" s="57"/>
      <c r="H140" s="57"/>
      <c r="I140" s="57"/>
    </row>
    <row r="141">
      <c r="A141" s="55"/>
      <c r="C141" s="87"/>
      <c r="D141" s="56"/>
      <c r="E141" s="57"/>
      <c r="H141" s="57"/>
      <c r="I141" s="57"/>
    </row>
    <row r="142">
      <c r="A142" s="55"/>
      <c r="C142" s="87"/>
      <c r="D142" s="56"/>
      <c r="E142" s="57"/>
      <c r="H142" s="57"/>
      <c r="I142" s="57"/>
    </row>
    <row r="143">
      <c r="A143" s="55"/>
      <c r="C143" s="87"/>
      <c r="D143" s="56"/>
      <c r="E143" s="57"/>
      <c r="H143" s="57"/>
      <c r="I143" s="57"/>
    </row>
    <row r="144">
      <c r="A144" s="55"/>
      <c r="C144" s="87"/>
      <c r="D144" s="56"/>
      <c r="E144" s="57"/>
      <c r="H144" s="57"/>
      <c r="I144" s="57"/>
    </row>
    <row r="145">
      <c r="A145" s="55"/>
      <c r="C145" s="87"/>
      <c r="D145" s="56"/>
      <c r="E145" s="57"/>
      <c r="H145" s="57"/>
      <c r="I145" s="57"/>
    </row>
    <row r="146">
      <c r="A146" s="55"/>
      <c r="C146" s="87"/>
      <c r="D146" s="56"/>
      <c r="E146" s="57"/>
      <c r="H146" s="57"/>
      <c r="I146" s="57"/>
    </row>
    <row r="147">
      <c r="A147" s="55"/>
      <c r="C147" s="87"/>
      <c r="D147" s="56"/>
      <c r="E147" s="57"/>
      <c r="H147" s="57"/>
      <c r="I147" s="57"/>
    </row>
    <row r="148">
      <c r="A148" s="55"/>
      <c r="C148" s="87"/>
      <c r="D148" s="56"/>
      <c r="E148" s="57"/>
      <c r="H148" s="57"/>
      <c r="I148" s="57"/>
    </row>
    <row r="149">
      <c r="A149" s="55"/>
      <c r="C149" s="87"/>
      <c r="D149" s="56"/>
      <c r="E149" s="57"/>
      <c r="H149" s="57"/>
      <c r="I149" s="57"/>
    </row>
    <row r="150">
      <c r="A150" s="55"/>
      <c r="C150" s="87"/>
      <c r="D150" s="56"/>
      <c r="E150" s="57"/>
      <c r="H150" s="57"/>
      <c r="I150" s="57"/>
    </row>
    <row r="151">
      <c r="A151" s="55"/>
      <c r="C151" s="87"/>
      <c r="D151" s="56"/>
      <c r="E151" s="57"/>
      <c r="H151" s="57"/>
      <c r="I151" s="57"/>
    </row>
    <row r="152">
      <c r="A152" s="55"/>
      <c r="C152" s="87"/>
      <c r="D152" s="56"/>
      <c r="E152" s="57"/>
      <c r="H152" s="57"/>
      <c r="I152" s="57"/>
    </row>
    <row r="153">
      <c r="A153" s="55"/>
      <c r="C153" s="87"/>
      <c r="D153" s="56"/>
      <c r="E153" s="57"/>
      <c r="H153" s="57"/>
      <c r="I153" s="57"/>
    </row>
    <row r="154">
      <c r="A154" s="55"/>
      <c r="C154" s="87"/>
      <c r="D154" s="56"/>
      <c r="E154" s="57"/>
      <c r="H154" s="57"/>
      <c r="I154" s="57"/>
    </row>
    <row r="155">
      <c r="A155" s="55"/>
      <c r="C155" s="87"/>
      <c r="D155" s="56"/>
      <c r="E155" s="57"/>
      <c r="H155" s="57"/>
      <c r="I155" s="57"/>
    </row>
    <row r="156">
      <c r="A156" s="55"/>
      <c r="C156" s="87"/>
      <c r="D156" s="56"/>
      <c r="E156" s="57"/>
      <c r="H156" s="57"/>
      <c r="I156" s="57"/>
    </row>
    <row r="157">
      <c r="A157" s="55"/>
      <c r="C157" s="87"/>
      <c r="D157" s="56"/>
      <c r="E157" s="57"/>
      <c r="H157" s="57"/>
      <c r="I157" s="57"/>
    </row>
    <row r="158">
      <c r="A158" s="55"/>
      <c r="C158" s="87"/>
      <c r="D158" s="56"/>
      <c r="E158" s="57"/>
      <c r="H158" s="57"/>
      <c r="I158" s="57"/>
    </row>
    <row r="159">
      <c r="A159" s="55"/>
      <c r="C159" s="87"/>
      <c r="D159" s="56"/>
      <c r="E159" s="57"/>
      <c r="H159" s="57"/>
      <c r="I159" s="57"/>
    </row>
    <row r="160">
      <c r="A160" s="55"/>
      <c r="C160" s="87"/>
      <c r="D160" s="56"/>
      <c r="E160" s="57"/>
      <c r="H160" s="57"/>
      <c r="I160" s="57"/>
    </row>
    <row r="161">
      <c r="A161" s="55"/>
      <c r="C161" s="87"/>
      <c r="D161" s="56"/>
      <c r="E161" s="57"/>
      <c r="H161" s="57"/>
      <c r="I161" s="57"/>
    </row>
    <row r="162">
      <c r="A162" s="55"/>
      <c r="C162" s="87"/>
      <c r="D162" s="56"/>
      <c r="E162" s="57"/>
      <c r="H162" s="57"/>
      <c r="I162" s="57"/>
    </row>
    <row r="163">
      <c r="A163" s="55"/>
      <c r="C163" s="87"/>
      <c r="D163" s="56"/>
      <c r="E163" s="57"/>
      <c r="H163" s="57"/>
      <c r="I163" s="57"/>
    </row>
    <row r="164">
      <c r="A164" s="55"/>
      <c r="C164" s="87"/>
      <c r="D164" s="56"/>
      <c r="E164" s="57"/>
      <c r="H164" s="57"/>
      <c r="I164" s="57"/>
    </row>
    <row r="165">
      <c r="A165" s="55"/>
      <c r="C165" s="87"/>
      <c r="D165" s="56"/>
      <c r="E165" s="57"/>
      <c r="H165" s="57"/>
      <c r="I165" s="57"/>
    </row>
    <row r="166">
      <c r="A166" s="55"/>
      <c r="C166" s="87"/>
      <c r="D166" s="56"/>
      <c r="E166" s="57"/>
      <c r="H166" s="57"/>
      <c r="I166" s="57"/>
    </row>
    <row r="167">
      <c r="A167" s="55"/>
      <c r="C167" s="87"/>
      <c r="D167" s="56"/>
      <c r="E167" s="57"/>
      <c r="H167" s="57"/>
      <c r="I167" s="57"/>
    </row>
    <row r="168">
      <c r="A168" s="55"/>
      <c r="C168" s="87"/>
      <c r="D168" s="56"/>
      <c r="E168" s="57"/>
      <c r="H168" s="57"/>
      <c r="I168" s="57"/>
    </row>
    <row r="169">
      <c r="A169" s="55"/>
      <c r="C169" s="87"/>
      <c r="D169" s="56"/>
      <c r="E169" s="57"/>
      <c r="H169" s="57"/>
      <c r="I169" s="57"/>
    </row>
    <row r="170">
      <c r="A170" s="55"/>
      <c r="C170" s="87"/>
      <c r="D170" s="56"/>
      <c r="E170" s="57"/>
      <c r="H170" s="57"/>
      <c r="I170" s="57"/>
    </row>
    <row r="171">
      <c r="A171" s="55"/>
      <c r="C171" s="87"/>
      <c r="D171" s="56"/>
      <c r="E171" s="57"/>
      <c r="H171" s="57"/>
      <c r="I171" s="57"/>
    </row>
    <row r="172">
      <c r="A172" s="55"/>
      <c r="C172" s="87"/>
      <c r="D172" s="56"/>
      <c r="E172" s="57"/>
      <c r="H172" s="57"/>
      <c r="I172" s="57"/>
    </row>
    <row r="173">
      <c r="A173" s="55"/>
      <c r="C173" s="87"/>
      <c r="D173" s="56"/>
      <c r="E173" s="57"/>
      <c r="H173" s="57"/>
      <c r="I173" s="57"/>
    </row>
    <row r="174">
      <c r="A174" s="55"/>
      <c r="C174" s="87"/>
      <c r="D174" s="56"/>
      <c r="E174" s="57"/>
      <c r="H174" s="57"/>
      <c r="I174" s="57"/>
    </row>
    <row r="175">
      <c r="A175" s="55"/>
      <c r="C175" s="87"/>
      <c r="D175" s="56"/>
      <c r="E175" s="57"/>
      <c r="H175" s="57"/>
      <c r="I175" s="57"/>
    </row>
    <row r="176">
      <c r="A176" s="55"/>
      <c r="C176" s="87"/>
      <c r="D176" s="56"/>
      <c r="E176" s="57"/>
      <c r="H176" s="57"/>
      <c r="I176" s="57"/>
    </row>
    <row r="177">
      <c r="A177" s="55"/>
      <c r="C177" s="87"/>
      <c r="D177" s="56"/>
      <c r="E177" s="57"/>
      <c r="H177" s="57"/>
      <c r="I177" s="57"/>
    </row>
    <row r="178">
      <c r="A178" s="55"/>
      <c r="C178" s="87"/>
      <c r="D178" s="56"/>
      <c r="E178" s="57"/>
      <c r="H178" s="57"/>
      <c r="I178" s="57"/>
    </row>
    <row r="179">
      <c r="A179" s="55"/>
      <c r="C179" s="87"/>
      <c r="D179" s="56"/>
      <c r="E179" s="57"/>
      <c r="H179" s="57"/>
      <c r="I179" s="57"/>
    </row>
    <row r="180">
      <c r="A180" s="55"/>
      <c r="C180" s="87"/>
      <c r="D180" s="56"/>
      <c r="E180" s="57"/>
      <c r="H180" s="57"/>
      <c r="I180" s="57"/>
    </row>
    <row r="181">
      <c r="A181" s="55"/>
      <c r="C181" s="87"/>
      <c r="D181" s="56"/>
      <c r="E181" s="57"/>
      <c r="H181" s="57"/>
      <c r="I181" s="57"/>
    </row>
    <row r="182">
      <c r="A182" s="55"/>
      <c r="C182" s="87"/>
      <c r="D182" s="56"/>
      <c r="E182" s="57"/>
      <c r="H182" s="57"/>
      <c r="I182" s="57"/>
    </row>
    <row r="183">
      <c r="A183" s="55"/>
      <c r="C183" s="87"/>
      <c r="D183" s="56"/>
      <c r="E183" s="57"/>
      <c r="H183" s="57"/>
      <c r="I183" s="57"/>
    </row>
    <row r="184">
      <c r="A184" s="55"/>
      <c r="C184" s="87"/>
      <c r="D184" s="56"/>
      <c r="E184" s="57"/>
      <c r="H184" s="57"/>
      <c r="I184" s="57"/>
    </row>
    <row r="185">
      <c r="A185" s="55"/>
      <c r="C185" s="87"/>
      <c r="D185" s="56"/>
      <c r="E185" s="57"/>
      <c r="H185" s="57"/>
      <c r="I185" s="57"/>
    </row>
    <row r="186">
      <c r="A186" s="55"/>
      <c r="C186" s="87"/>
      <c r="D186" s="56"/>
      <c r="E186" s="57"/>
      <c r="H186" s="57"/>
      <c r="I186" s="57"/>
    </row>
    <row r="187">
      <c r="A187" s="55"/>
      <c r="C187" s="87"/>
      <c r="D187" s="56"/>
      <c r="E187" s="57"/>
      <c r="H187" s="57"/>
      <c r="I187" s="57"/>
    </row>
    <row r="188">
      <c r="A188" s="55"/>
      <c r="C188" s="87"/>
      <c r="D188" s="56"/>
      <c r="E188" s="57"/>
      <c r="H188" s="57"/>
      <c r="I188" s="57"/>
    </row>
    <row r="189">
      <c r="A189" s="55"/>
      <c r="C189" s="87"/>
      <c r="D189" s="56"/>
      <c r="E189" s="57"/>
      <c r="H189" s="57"/>
      <c r="I189" s="57"/>
    </row>
    <row r="190">
      <c r="A190" s="55"/>
      <c r="C190" s="87"/>
      <c r="D190" s="56"/>
      <c r="E190" s="57"/>
      <c r="H190" s="57"/>
      <c r="I190" s="57"/>
    </row>
    <row r="191">
      <c r="A191" s="55"/>
      <c r="C191" s="87"/>
      <c r="D191" s="56"/>
      <c r="E191" s="57"/>
      <c r="H191" s="57"/>
      <c r="I191" s="57"/>
    </row>
    <row r="192">
      <c r="A192" s="55"/>
      <c r="C192" s="87"/>
      <c r="D192" s="56"/>
      <c r="E192" s="57"/>
      <c r="H192" s="57"/>
      <c r="I192" s="57"/>
    </row>
    <row r="193">
      <c r="A193" s="55"/>
      <c r="C193" s="87"/>
      <c r="D193" s="56"/>
      <c r="E193" s="57"/>
      <c r="H193" s="57"/>
      <c r="I193" s="57"/>
    </row>
    <row r="194">
      <c r="A194" s="55"/>
      <c r="C194" s="87"/>
      <c r="D194" s="56"/>
      <c r="E194" s="57"/>
      <c r="H194" s="57"/>
      <c r="I194" s="57"/>
    </row>
    <row r="195">
      <c r="A195" s="55"/>
      <c r="C195" s="87"/>
      <c r="D195" s="56"/>
      <c r="E195" s="57"/>
      <c r="H195" s="57"/>
      <c r="I195" s="57"/>
    </row>
    <row r="196">
      <c r="A196" s="55"/>
      <c r="C196" s="87"/>
      <c r="D196" s="56"/>
      <c r="E196" s="57"/>
      <c r="H196" s="57"/>
      <c r="I196" s="57"/>
    </row>
    <row r="197">
      <c r="A197" s="55"/>
      <c r="C197" s="87"/>
      <c r="D197" s="56"/>
      <c r="E197" s="57"/>
      <c r="H197" s="57"/>
      <c r="I197" s="57"/>
    </row>
    <row r="198">
      <c r="A198" s="55"/>
      <c r="C198" s="87"/>
      <c r="D198" s="56"/>
      <c r="E198" s="57"/>
      <c r="H198" s="57"/>
      <c r="I198" s="57"/>
    </row>
    <row r="199">
      <c r="A199" s="55"/>
      <c r="C199" s="87"/>
      <c r="D199" s="56"/>
      <c r="E199" s="57"/>
      <c r="H199" s="57"/>
      <c r="I199" s="57"/>
    </row>
    <row r="200">
      <c r="A200" s="55"/>
      <c r="C200" s="87"/>
      <c r="D200" s="56"/>
      <c r="E200" s="57"/>
      <c r="H200" s="57"/>
      <c r="I200" s="57"/>
    </row>
    <row r="201">
      <c r="A201" s="55"/>
      <c r="C201" s="87"/>
      <c r="D201" s="56"/>
      <c r="E201" s="57"/>
      <c r="H201" s="57"/>
      <c r="I201" s="57"/>
    </row>
    <row r="202">
      <c r="A202" s="55"/>
      <c r="C202" s="87"/>
      <c r="D202" s="56"/>
      <c r="E202" s="57"/>
      <c r="H202" s="57"/>
      <c r="I202" s="57"/>
    </row>
    <row r="203">
      <c r="A203" s="55"/>
      <c r="C203" s="87"/>
      <c r="D203" s="56"/>
      <c r="E203" s="57"/>
      <c r="H203" s="57"/>
      <c r="I203" s="57"/>
    </row>
    <row r="204">
      <c r="A204" s="55"/>
      <c r="C204" s="87"/>
      <c r="D204" s="56"/>
      <c r="E204" s="57"/>
      <c r="H204" s="57"/>
      <c r="I204" s="57"/>
    </row>
    <row r="205">
      <c r="A205" s="55"/>
      <c r="C205" s="87"/>
      <c r="D205" s="56"/>
      <c r="E205" s="57"/>
      <c r="H205" s="57"/>
      <c r="I205" s="57"/>
    </row>
    <row r="206">
      <c r="A206" s="55"/>
      <c r="C206" s="87"/>
      <c r="D206" s="56"/>
      <c r="E206" s="57"/>
      <c r="H206" s="57"/>
      <c r="I206" s="57"/>
    </row>
    <row r="207">
      <c r="A207" s="55"/>
      <c r="C207" s="87"/>
      <c r="D207" s="56"/>
      <c r="E207" s="57"/>
      <c r="H207" s="57"/>
      <c r="I207" s="57"/>
    </row>
    <row r="208">
      <c r="A208" s="55"/>
      <c r="C208" s="87"/>
      <c r="D208" s="56"/>
      <c r="E208" s="57"/>
      <c r="H208" s="57"/>
      <c r="I208" s="57"/>
    </row>
    <row r="209">
      <c r="A209" s="55"/>
      <c r="C209" s="87"/>
      <c r="D209" s="56"/>
      <c r="E209" s="57"/>
      <c r="H209" s="57"/>
      <c r="I209" s="57"/>
    </row>
    <row r="210">
      <c r="A210" s="55"/>
      <c r="C210" s="87"/>
      <c r="D210" s="56"/>
      <c r="E210" s="57"/>
      <c r="H210" s="57"/>
      <c r="I210" s="57"/>
    </row>
    <row r="211">
      <c r="A211" s="55"/>
      <c r="C211" s="87"/>
      <c r="D211" s="56"/>
      <c r="E211" s="57"/>
      <c r="H211" s="57"/>
      <c r="I211" s="57"/>
    </row>
    <row r="212">
      <c r="A212" s="55"/>
      <c r="C212" s="87"/>
      <c r="D212" s="56"/>
      <c r="E212" s="57"/>
      <c r="H212" s="57"/>
      <c r="I212" s="57"/>
    </row>
    <row r="213">
      <c r="A213" s="55"/>
      <c r="C213" s="87"/>
      <c r="D213" s="56"/>
      <c r="E213" s="57"/>
      <c r="H213" s="57"/>
      <c r="I213" s="57"/>
    </row>
    <row r="214">
      <c r="A214" s="55"/>
      <c r="C214" s="87"/>
      <c r="D214" s="56"/>
      <c r="E214" s="57"/>
      <c r="H214" s="57"/>
      <c r="I214" s="57"/>
    </row>
    <row r="215">
      <c r="A215" s="55"/>
      <c r="C215" s="87"/>
      <c r="D215" s="56"/>
      <c r="E215" s="57"/>
      <c r="H215" s="57"/>
      <c r="I215" s="57"/>
    </row>
    <row r="216">
      <c r="A216" s="55"/>
      <c r="C216" s="87"/>
      <c r="D216" s="56"/>
      <c r="E216" s="57"/>
      <c r="H216" s="57"/>
      <c r="I216" s="57"/>
    </row>
    <row r="217">
      <c r="A217" s="55"/>
      <c r="C217" s="87"/>
      <c r="D217" s="56"/>
      <c r="E217" s="57"/>
      <c r="H217" s="57"/>
      <c r="I217" s="57"/>
    </row>
    <row r="218">
      <c r="A218" s="55"/>
      <c r="C218" s="87"/>
      <c r="D218" s="56"/>
      <c r="E218" s="57"/>
      <c r="H218" s="57"/>
      <c r="I218" s="57"/>
    </row>
    <row r="219">
      <c r="A219" s="55"/>
      <c r="C219" s="87"/>
      <c r="D219" s="56"/>
      <c r="E219" s="57"/>
      <c r="H219" s="57"/>
      <c r="I219" s="57"/>
    </row>
    <row r="220">
      <c r="A220" s="55"/>
      <c r="C220" s="87"/>
      <c r="D220" s="56"/>
      <c r="E220" s="57"/>
      <c r="H220" s="57"/>
      <c r="I220" s="57"/>
    </row>
    <row r="221">
      <c r="A221" s="55"/>
      <c r="C221" s="87"/>
      <c r="D221" s="56"/>
      <c r="E221" s="57"/>
      <c r="H221" s="57"/>
      <c r="I221" s="57"/>
    </row>
    <row r="222">
      <c r="A222" s="55"/>
      <c r="C222" s="87"/>
      <c r="D222" s="56"/>
      <c r="E222" s="57"/>
      <c r="H222" s="57"/>
      <c r="I222" s="57"/>
    </row>
    <row r="223">
      <c r="A223" s="55"/>
      <c r="C223" s="87"/>
      <c r="D223" s="56"/>
      <c r="E223" s="57"/>
      <c r="H223" s="57"/>
      <c r="I223" s="57"/>
    </row>
    <row r="224">
      <c r="A224" s="55"/>
      <c r="C224" s="87"/>
      <c r="D224" s="56"/>
      <c r="E224" s="57"/>
      <c r="H224" s="57"/>
      <c r="I224" s="57"/>
    </row>
    <row r="225">
      <c r="A225" s="55"/>
      <c r="C225" s="87"/>
      <c r="D225" s="56"/>
      <c r="E225" s="57"/>
      <c r="H225" s="57"/>
      <c r="I225" s="57"/>
    </row>
    <row r="226">
      <c r="A226" s="55"/>
      <c r="C226" s="87"/>
      <c r="D226" s="56"/>
      <c r="E226" s="57"/>
      <c r="H226" s="57"/>
      <c r="I226" s="57"/>
    </row>
    <row r="227">
      <c r="A227" s="55"/>
      <c r="C227" s="87"/>
      <c r="D227" s="56"/>
      <c r="E227" s="57"/>
      <c r="H227" s="57"/>
      <c r="I227" s="57"/>
    </row>
    <row r="228">
      <c r="A228" s="55"/>
      <c r="C228" s="87"/>
      <c r="D228" s="56"/>
      <c r="E228" s="57"/>
      <c r="H228" s="57"/>
      <c r="I228" s="57"/>
    </row>
    <row r="229">
      <c r="A229" s="55"/>
      <c r="C229" s="87"/>
      <c r="D229" s="56"/>
      <c r="E229" s="57"/>
      <c r="H229" s="57"/>
      <c r="I229" s="57"/>
    </row>
    <row r="230">
      <c r="A230" s="55"/>
      <c r="C230" s="87"/>
      <c r="D230" s="56"/>
      <c r="E230" s="57"/>
      <c r="H230" s="57"/>
      <c r="I230" s="57"/>
    </row>
    <row r="231">
      <c r="A231" s="55"/>
      <c r="C231" s="87"/>
      <c r="D231" s="56"/>
      <c r="E231" s="57"/>
      <c r="H231" s="57"/>
      <c r="I231" s="57"/>
    </row>
    <row r="232">
      <c r="A232" s="55"/>
      <c r="C232" s="87"/>
      <c r="D232" s="56"/>
      <c r="E232" s="57"/>
      <c r="H232" s="57"/>
      <c r="I232" s="57"/>
    </row>
    <row r="233">
      <c r="A233" s="55"/>
      <c r="C233" s="87"/>
      <c r="D233" s="56"/>
      <c r="E233" s="57"/>
      <c r="H233" s="57"/>
      <c r="I233" s="57"/>
    </row>
    <row r="234">
      <c r="A234" s="55"/>
      <c r="C234" s="87"/>
      <c r="D234" s="56"/>
      <c r="E234" s="57"/>
      <c r="H234" s="57"/>
      <c r="I234" s="57"/>
    </row>
    <row r="235">
      <c r="A235" s="55"/>
      <c r="C235" s="87"/>
      <c r="D235" s="56"/>
      <c r="E235" s="57"/>
      <c r="H235" s="57"/>
      <c r="I235" s="57"/>
    </row>
    <row r="236">
      <c r="A236" s="55"/>
      <c r="C236" s="87"/>
      <c r="D236" s="56"/>
      <c r="E236" s="57"/>
      <c r="H236" s="57"/>
      <c r="I236" s="57"/>
    </row>
    <row r="237">
      <c r="A237" s="55"/>
      <c r="C237" s="87"/>
      <c r="D237" s="56"/>
      <c r="E237" s="57"/>
      <c r="H237" s="57"/>
      <c r="I237" s="57"/>
    </row>
    <row r="238">
      <c r="A238" s="55"/>
      <c r="C238" s="87"/>
      <c r="D238" s="56"/>
      <c r="E238" s="57"/>
      <c r="H238" s="57"/>
      <c r="I238" s="57"/>
    </row>
    <row r="239">
      <c r="A239" s="55"/>
      <c r="C239" s="87"/>
      <c r="D239" s="56"/>
      <c r="E239" s="57"/>
      <c r="H239" s="57"/>
      <c r="I239" s="57"/>
    </row>
    <row r="240">
      <c r="A240" s="55"/>
      <c r="C240" s="87"/>
      <c r="D240" s="56"/>
      <c r="E240" s="57"/>
      <c r="H240" s="57"/>
      <c r="I240" s="57"/>
    </row>
    <row r="241">
      <c r="A241" s="55"/>
      <c r="C241" s="87"/>
      <c r="D241" s="56"/>
      <c r="E241" s="57"/>
      <c r="H241" s="57"/>
      <c r="I241" s="57"/>
    </row>
    <row r="242">
      <c r="A242" s="55"/>
      <c r="C242" s="87"/>
      <c r="D242" s="56"/>
      <c r="E242" s="57"/>
      <c r="H242" s="57"/>
      <c r="I242" s="57"/>
    </row>
    <row r="243">
      <c r="A243" s="55"/>
      <c r="C243" s="87"/>
      <c r="D243" s="56"/>
      <c r="E243" s="57"/>
      <c r="H243" s="57"/>
      <c r="I243" s="57"/>
    </row>
    <row r="244">
      <c r="A244" s="55"/>
      <c r="C244" s="87"/>
      <c r="D244" s="56"/>
      <c r="E244" s="57"/>
      <c r="H244" s="57"/>
      <c r="I244" s="57"/>
    </row>
    <row r="245">
      <c r="A245" s="55"/>
      <c r="C245" s="87"/>
      <c r="D245" s="56"/>
      <c r="E245" s="57"/>
      <c r="H245" s="57"/>
      <c r="I245" s="57"/>
    </row>
    <row r="246">
      <c r="A246" s="55"/>
      <c r="C246" s="87"/>
      <c r="D246" s="56"/>
      <c r="E246" s="57"/>
      <c r="H246" s="57"/>
      <c r="I246" s="57"/>
    </row>
    <row r="247">
      <c r="A247" s="55"/>
      <c r="C247" s="87"/>
      <c r="D247" s="56"/>
      <c r="E247" s="57"/>
      <c r="H247" s="57"/>
      <c r="I247" s="57"/>
    </row>
    <row r="248">
      <c r="A248" s="55"/>
      <c r="C248" s="87"/>
      <c r="D248" s="56"/>
      <c r="E248" s="57"/>
      <c r="H248" s="57"/>
      <c r="I248" s="57"/>
    </row>
    <row r="249">
      <c r="A249" s="55"/>
      <c r="C249" s="87"/>
      <c r="D249" s="56"/>
      <c r="E249" s="57"/>
      <c r="H249" s="57"/>
      <c r="I249" s="57"/>
    </row>
    <row r="250">
      <c r="A250" s="55"/>
      <c r="C250" s="87"/>
      <c r="D250" s="56"/>
      <c r="E250" s="57"/>
      <c r="H250" s="57"/>
      <c r="I250" s="57"/>
    </row>
    <row r="251">
      <c r="A251" s="55"/>
      <c r="C251" s="87"/>
      <c r="D251" s="56"/>
      <c r="E251" s="57"/>
      <c r="H251" s="57"/>
      <c r="I251" s="57"/>
    </row>
    <row r="252">
      <c r="A252" s="55"/>
      <c r="C252" s="87"/>
      <c r="D252" s="56"/>
      <c r="E252" s="57"/>
      <c r="H252" s="57"/>
      <c r="I252" s="57"/>
    </row>
    <row r="253">
      <c r="A253" s="55"/>
      <c r="C253" s="87"/>
      <c r="D253" s="56"/>
      <c r="E253" s="57"/>
      <c r="H253" s="57"/>
      <c r="I253" s="57"/>
    </row>
    <row r="254">
      <c r="A254" s="55"/>
      <c r="C254" s="87"/>
      <c r="D254" s="56"/>
      <c r="E254" s="57"/>
      <c r="H254" s="57"/>
      <c r="I254" s="57"/>
    </row>
    <row r="255">
      <c r="A255" s="55"/>
      <c r="C255" s="87"/>
      <c r="D255" s="56"/>
      <c r="E255" s="57"/>
      <c r="H255" s="57"/>
      <c r="I255" s="57"/>
    </row>
    <row r="256">
      <c r="A256" s="55"/>
      <c r="C256" s="87"/>
      <c r="D256" s="56"/>
      <c r="E256" s="57"/>
      <c r="H256" s="57"/>
      <c r="I256" s="57"/>
    </row>
    <row r="257">
      <c r="A257" s="55"/>
      <c r="C257" s="87"/>
      <c r="D257" s="56"/>
      <c r="E257" s="57"/>
      <c r="H257" s="57"/>
      <c r="I257" s="57"/>
    </row>
    <row r="258">
      <c r="A258" s="55"/>
      <c r="C258" s="87"/>
      <c r="D258" s="56"/>
      <c r="E258" s="57"/>
      <c r="H258" s="57"/>
      <c r="I258" s="57"/>
    </row>
    <row r="259">
      <c r="A259" s="55"/>
      <c r="C259" s="87"/>
      <c r="D259" s="56"/>
      <c r="E259" s="57"/>
      <c r="H259" s="57"/>
      <c r="I259" s="57"/>
    </row>
    <row r="260">
      <c r="A260" s="55"/>
      <c r="C260" s="87"/>
      <c r="D260" s="56"/>
      <c r="E260" s="57"/>
      <c r="H260" s="57"/>
      <c r="I260" s="57"/>
    </row>
    <row r="261">
      <c r="A261" s="55"/>
      <c r="C261" s="87"/>
      <c r="D261" s="56"/>
      <c r="E261" s="57"/>
      <c r="H261" s="57"/>
      <c r="I261" s="57"/>
    </row>
    <row r="262">
      <c r="A262" s="55"/>
      <c r="C262" s="87"/>
      <c r="D262" s="56"/>
      <c r="E262" s="57"/>
      <c r="H262" s="57"/>
      <c r="I262" s="57"/>
    </row>
    <row r="263">
      <c r="A263" s="55"/>
      <c r="C263" s="87"/>
      <c r="D263" s="56"/>
      <c r="E263" s="57"/>
      <c r="H263" s="57"/>
      <c r="I263" s="57"/>
    </row>
    <row r="264">
      <c r="A264" s="55"/>
      <c r="C264" s="87"/>
      <c r="D264" s="56"/>
      <c r="E264" s="57"/>
      <c r="H264" s="57"/>
      <c r="I264" s="57"/>
    </row>
    <row r="265">
      <c r="A265" s="55"/>
      <c r="C265" s="87"/>
      <c r="D265" s="56"/>
      <c r="E265" s="57"/>
      <c r="H265" s="57"/>
      <c r="I265" s="57"/>
    </row>
    <row r="266">
      <c r="A266" s="55"/>
      <c r="C266" s="87"/>
      <c r="D266" s="56"/>
      <c r="E266" s="57"/>
      <c r="H266" s="57"/>
      <c r="I266" s="57"/>
    </row>
    <row r="267">
      <c r="A267" s="55"/>
      <c r="C267" s="87"/>
      <c r="D267" s="56"/>
      <c r="E267" s="57"/>
      <c r="H267" s="57"/>
      <c r="I267" s="57"/>
    </row>
    <row r="268">
      <c r="A268" s="55"/>
      <c r="C268" s="87"/>
      <c r="D268" s="56"/>
      <c r="E268" s="57"/>
      <c r="H268" s="57"/>
      <c r="I268" s="57"/>
    </row>
    <row r="269">
      <c r="A269" s="55"/>
      <c r="C269" s="87"/>
      <c r="D269" s="56"/>
      <c r="E269" s="57"/>
      <c r="H269" s="57"/>
      <c r="I269" s="57"/>
    </row>
    <row r="270">
      <c r="A270" s="55"/>
      <c r="C270" s="87"/>
      <c r="D270" s="56"/>
      <c r="E270" s="57"/>
      <c r="H270" s="57"/>
      <c r="I270" s="57"/>
    </row>
    <row r="271">
      <c r="A271" s="55"/>
      <c r="C271" s="87"/>
      <c r="D271" s="56"/>
      <c r="E271" s="57"/>
      <c r="H271" s="57"/>
      <c r="I271" s="57"/>
    </row>
    <row r="272">
      <c r="A272" s="55"/>
      <c r="C272" s="87"/>
      <c r="D272" s="56"/>
      <c r="E272" s="57"/>
      <c r="H272" s="57"/>
      <c r="I272" s="57"/>
    </row>
    <row r="273">
      <c r="A273" s="55"/>
      <c r="C273" s="87"/>
      <c r="D273" s="56"/>
      <c r="E273" s="57"/>
      <c r="H273" s="57"/>
      <c r="I273" s="57"/>
    </row>
    <row r="274">
      <c r="A274" s="55"/>
      <c r="C274" s="87"/>
      <c r="D274" s="56"/>
      <c r="E274" s="57"/>
      <c r="H274" s="57"/>
      <c r="I274" s="57"/>
    </row>
    <row r="275">
      <c r="A275" s="55"/>
      <c r="C275" s="87"/>
      <c r="D275" s="56"/>
      <c r="E275" s="57"/>
      <c r="H275" s="57"/>
      <c r="I275" s="57"/>
    </row>
    <row r="276">
      <c r="A276" s="55"/>
      <c r="C276" s="87"/>
      <c r="D276" s="56"/>
      <c r="E276" s="57"/>
      <c r="H276" s="57"/>
      <c r="I276" s="57"/>
    </row>
    <row r="277">
      <c r="A277" s="55"/>
      <c r="C277" s="87"/>
      <c r="D277" s="56"/>
      <c r="E277" s="57"/>
      <c r="H277" s="57"/>
      <c r="I277" s="57"/>
    </row>
    <row r="278">
      <c r="A278" s="55"/>
      <c r="C278" s="87"/>
      <c r="D278" s="56"/>
      <c r="E278" s="57"/>
      <c r="H278" s="57"/>
      <c r="I278" s="57"/>
    </row>
    <row r="279">
      <c r="A279" s="55"/>
      <c r="C279" s="87"/>
      <c r="D279" s="56"/>
      <c r="E279" s="57"/>
      <c r="H279" s="57"/>
      <c r="I279" s="57"/>
    </row>
    <row r="280">
      <c r="A280" s="55"/>
      <c r="C280" s="87"/>
      <c r="D280" s="56"/>
      <c r="E280" s="57"/>
      <c r="H280" s="57"/>
      <c r="I280" s="57"/>
    </row>
    <row r="281">
      <c r="A281" s="55"/>
      <c r="C281" s="87"/>
      <c r="D281" s="56"/>
      <c r="E281" s="57"/>
      <c r="H281" s="57"/>
      <c r="I281" s="57"/>
    </row>
    <row r="282">
      <c r="A282" s="55"/>
      <c r="C282" s="87"/>
      <c r="D282" s="56"/>
      <c r="E282" s="57"/>
      <c r="H282" s="57"/>
      <c r="I282" s="57"/>
    </row>
    <row r="283">
      <c r="A283" s="55"/>
      <c r="C283" s="87"/>
      <c r="D283" s="56"/>
      <c r="E283" s="57"/>
      <c r="H283" s="57"/>
      <c r="I283" s="57"/>
    </row>
    <row r="284">
      <c r="A284" s="55"/>
      <c r="C284" s="87"/>
      <c r="D284" s="56"/>
      <c r="E284" s="57"/>
      <c r="H284" s="57"/>
      <c r="I284" s="57"/>
    </row>
    <row r="285">
      <c r="A285" s="55"/>
      <c r="C285" s="87"/>
      <c r="D285" s="56"/>
      <c r="E285" s="57"/>
      <c r="H285" s="57"/>
      <c r="I285" s="57"/>
    </row>
    <row r="286">
      <c r="A286" s="55"/>
      <c r="C286" s="87"/>
      <c r="D286" s="56"/>
      <c r="E286" s="57"/>
      <c r="H286" s="57"/>
      <c r="I286" s="57"/>
    </row>
    <row r="287">
      <c r="A287" s="55"/>
      <c r="C287" s="87"/>
      <c r="D287" s="56"/>
      <c r="E287" s="57"/>
      <c r="H287" s="57"/>
      <c r="I287" s="57"/>
    </row>
    <row r="288">
      <c r="A288" s="55"/>
      <c r="C288" s="87"/>
      <c r="D288" s="56"/>
      <c r="E288" s="57"/>
      <c r="H288" s="57"/>
      <c r="I288" s="57"/>
    </row>
    <row r="289">
      <c r="A289" s="55"/>
      <c r="C289" s="87"/>
      <c r="D289" s="56"/>
      <c r="E289" s="57"/>
      <c r="H289" s="57"/>
      <c r="I289" s="57"/>
    </row>
    <row r="290">
      <c r="A290" s="55"/>
      <c r="C290" s="87"/>
      <c r="D290" s="56"/>
      <c r="E290" s="57"/>
      <c r="H290" s="57"/>
      <c r="I290" s="57"/>
    </row>
    <row r="291">
      <c r="A291" s="55"/>
      <c r="C291" s="87"/>
      <c r="D291" s="56"/>
      <c r="E291" s="57"/>
      <c r="H291" s="57"/>
      <c r="I291" s="57"/>
    </row>
    <row r="292">
      <c r="A292" s="55"/>
      <c r="C292" s="87"/>
      <c r="D292" s="56"/>
      <c r="E292" s="57"/>
      <c r="H292" s="57"/>
      <c r="I292" s="57"/>
    </row>
    <row r="293">
      <c r="A293" s="55"/>
      <c r="C293" s="87"/>
      <c r="D293" s="56"/>
      <c r="E293" s="57"/>
      <c r="H293" s="57"/>
      <c r="I293" s="57"/>
    </row>
    <row r="294">
      <c r="A294" s="55"/>
      <c r="C294" s="87"/>
      <c r="D294" s="56"/>
      <c r="E294" s="57"/>
      <c r="H294" s="57"/>
      <c r="I294" s="57"/>
    </row>
    <row r="295">
      <c r="A295" s="55"/>
      <c r="C295" s="87"/>
      <c r="D295" s="56"/>
      <c r="E295" s="57"/>
      <c r="H295" s="57"/>
      <c r="I295" s="57"/>
    </row>
    <row r="296">
      <c r="A296" s="55"/>
      <c r="C296" s="87"/>
      <c r="D296" s="56"/>
      <c r="E296" s="57"/>
      <c r="H296" s="57"/>
      <c r="I296" s="57"/>
    </row>
    <row r="297">
      <c r="A297" s="55"/>
      <c r="C297" s="87"/>
      <c r="D297" s="56"/>
      <c r="E297" s="57"/>
      <c r="H297" s="57"/>
      <c r="I297" s="57"/>
    </row>
    <row r="298">
      <c r="A298" s="55"/>
      <c r="C298" s="87"/>
      <c r="D298" s="56"/>
      <c r="E298" s="57"/>
      <c r="H298" s="57"/>
      <c r="I298" s="57"/>
    </row>
    <row r="299">
      <c r="A299" s="55"/>
      <c r="C299" s="87"/>
      <c r="D299" s="56"/>
      <c r="E299" s="57"/>
      <c r="H299" s="57"/>
      <c r="I299" s="57"/>
    </row>
    <row r="300">
      <c r="A300" s="55"/>
      <c r="C300" s="87"/>
      <c r="D300" s="56"/>
      <c r="E300" s="57"/>
      <c r="H300" s="57"/>
      <c r="I300" s="57"/>
    </row>
    <row r="301">
      <c r="A301" s="55"/>
      <c r="C301" s="87"/>
      <c r="D301" s="56"/>
      <c r="E301" s="57"/>
      <c r="H301" s="57"/>
      <c r="I301" s="57"/>
    </row>
    <row r="302">
      <c r="A302" s="55"/>
      <c r="C302" s="87"/>
      <c r="D302" s="56"/>
      <c r="E302" s="57"/>
      <c r="H302" s="57"/>
      <c r="I302" s="57"/>
    </row>
    <row r="303">
      <c r="A303" s="55"/>
      <c r="C303" s="87"/>
      <c r="D303" s="56"/>
      <c r="E303" s="57"/>
      <c r="H303" s="57"/>
      <c r="I303" s="57"/>
    </row>
    <row r="304">
      <c r="A304" s="55"/>
      <c r="C304" s="87"/>
      <c r="D304" s="56"/>
      <c r="E304" s="57"/>
      <c r="H304" s="57"/>
      <c r="I304" s="57"/>
    </row>
    <row r="305">
      <c r="A305" s="55"/>
      <c r="C305" s="87"/>
      <c r="D305" s="56"/>
      <c r="E305" s="57"/>
      <c r="H305" s="57"/>
      <c r="I305" s="57"/>
    </row>
    <row r="306">
      <c r="A306" s="55"/>
      <c r="C306" s="87"/>
      <c r="D306" s="56"/>
      <c r="E306" s="57"/>
      <c r="H306" s="57"/>
      <c r="I306" s="57"/>
    </row>
    <row r="307">
      <c r="A307" s="55"/>
      <c r="C307" s="87"/>
      <c r="D307" s="56"/>
      <c r="E307" s="57"/>
      <c r="H307" s="57"/>
      <c r="I307" s="57"/>
    </row>
    <row r="308">
      <c r="A308" s="55"/>
      <c r="C308" s="87"/>
      <c r="D308" s="56"/>
      <c r="E308" s="57"/>
      <c r="H308" s="57"/>
      <c r="I308" s="57"/>
    </row>
    <row r="309">
      <c r="A309" s="55"/>
      <c r="C309" s="87"/>
      <c r="D309" s="56"/>
      <c r="E309" s="57"/>
      <c r="H309" s="57"/>
      <c r="I309" s="57"/>
    </row>
    <row r="310">
      <c r="A310" s="55"/>
      <c r="C310" s="87"/>
      <c r="D310" s="56"/>
      <c r="E310" s="57"/>
      <c r="H310" s="57"/>
      <c r="I310" s="57"/>
    </row>
    <row r="311">
      <c r="A311" s="55"/>
      <c r="C311" s="87"/>
      <c r="D311" s="56"/>
      <c r="E311" s="57"/>
      <c r="H311" s="57"/>
      <c r="I311" s="57"/>
    </row>
    <row r="312">
      <c r="A312" s="55"/>
      <c r="C312" s="87"/>
      <c r="D312" s="56"/>
      <c r="E312" s="57"/>
      <c r="H312" s="57"/>
      <c r="I312" s="57"/>
    </row>
    <row r="313">
      <c r="A313" s="55"/>
      <c r="C313" s="87"/>
      <c r="D313" s="56"/>
      <c r="E313" s="57"/>
      <c r="H313" s="57"/>
      <c r="I313" s="57"/>
    </row>
    <row r="314">
      <c r="A314" s="55"/>
      <c r="C314" s="87"/>
      <c r="D314" s="56"/>
      <c r="E314" s="57"/>
      <c r="H314" s="57"/>
      <c r="I314" s="57"/>
    </row>
    <row r="315">
      <c r="A315" s="55"/>
      <c r="C315" s="87"/>
      <c r="D315" s="56"/>
      <c r="E315" s="57"/>
      <c r="H315" s="57"/>
      <c r="I315" s="57"/>
    </row>
    <row r="316">
      <c r="A316" s="55"/>
      <c r="C316" s="87"/>
      <c r="D316" s="56"/>
      <c r="E316" s="57"/>
      <c r="H316" s="57"/>
      <c r="I316" s="57"/>
    </row>
    <row r="317">
      <c r="A317" s="55"/>
      <c r="C317" s="87"/>
      <c r="D317" s="56"/>
      <c r="E317" s="57"/>
      <c r="H317" s="57"/>
      <c r="I317" s="57"/>
    </row>
    <row r="318">
      <c r="A318" s="55"/>
      <c r="C318" s="87"/>
      <c r="D318" s="56"/>
      <c r="E318" s="57"/>
      <c r="H318" s="57"/>
      <c r="I318" s="57"/>
    </row>
    <row r="319">
      <c r="A319" s="55"/>
      <c r="C319" s="87"/>
      <c r="D319" s="56"/>
      <c r="E319" s="57"/>
      <c r="H319" s="57"/>
      <c r="I319" s="57"/>
    </row>
    <row r="320">
      <c r="A320" s="55"/>
      <c r="C320" s="87"/>
      <c r="D320" s="56"/>
      <c r="E320" s="57"/>
      <c r="H320" s="57"/>
      <c r="I320" s="57"/>
    </row>
    <row r="321">
      <c r="A321" s="55"/>
      <c r="C321" s="87"/>
      <c r="D321" s="56"/>
      <c r="E321" s="57"/>
      <c r="H321" s="57"/>
      <c r="I321" s="57"/>
    </row>
    <row r="322">
      <c r="A322" s="55"/>
      <c r="C322" s="87"/>
      <c r="D322" s="56"/>
      <c r="E322" s="57"/>
      <c r="H322" s="57"/>
      <c r="I322" s="57"/>
    </row>
    <row r="323">
      <c r="A323" s="55"/>
      <c r="C323" s="87"/>
      <c r="D323" s="56"/>
      <c r="E323" s="57"/>
      <c r="H323" s="57"/>
      <c r="I323" s="57"/>
    </row>
    <row r="324">
      <c r="A324" s="55"/>
      <c r="C324" s="87"/>
      <c r="D324" s="56"/>
      <c r="E324" s="57"/>
      <c r="H324" s="57"/>
      <c r="I324" s="57"/>
    </row>
    <row r="325">
      <c r="A325" s="55"/>
      <c r="C325" s="87"/>
      <c r="D325" s="56"/>
      <c r="E325" s="57"/>
      <c r="H325" s="57"/>
      <c r="I325" s="57"/>
    </row>
    <row r="326">
      <c r="A326" s="55"/>
      <c r="C326" s="87"/>
      <c r="D326" s="56"/>
      <c r="E326" s="57"/>
      <c r="H326" s="57"/>
      <c r="I326" s="57"/>
    </row>
    <row r="327">
      <c r="A327" s="55"/>
      <c r="C327" s="87"/>
      <c r="D327" s="56"/>
      <c r="E327" s="57"/>
      <c r="H327" s="57"/>
      <c r="I327" s="57"/>
    </row>
    <row r="328">
      <c r="A328" s="55"/>
      <c r="C328" s="87"/>
      <c r="D328" s="56"/>
      <c r="E328" s="57"/>
      <c r="H328" s="57"/>
      <c r="I328" s="57"/>
    </row>
    <row r="329">
      <c r="A329" s="55"/>
      <c r="C329" s="87"/>
      <c r="D329" s="56"/>
      <c r="E329" s="57"/>
      <c r="H329" s="57"/>
      <c r="I329" s="57"/>
    </row>
    <row r="330">
      <c r="A330" s="55"/>
      <c r="C330" s="87"/>
      <c r="D330" s="56"/>
      <c r="E330" s="57"/>
      <c r="H330" s="57"/>
      <c r="I330" s="57"/>
    </row>
    <row r="331">
      <c r="A331" s="55"/>
      <c r="C331" s="87"/>
      <c r="D331" s="56"/>
      <c r="E331" s="57"/>
      <c r="H331" s="57"/>
      <c r="I331" s="57"/>
    </row>
    <row r="332">
      <c r="A332" s="55"/>
      <c r="C332" s="87"/>
      <c r="D332" s="56"/>
      <c r="E332" s="57"/>
      <c r="H332" s="57"/>
      <c r="I332" s="57"/>
    </row>
    <row r="333">
      <c r="A333" s="55"/>
      <c r="C333" s="87"/>
      <c r="D333" s="56"/>
      <c r="E333" s="57"/>
      <c r="H333" s="57"/>
      <c r="I333" s="57"/>
    </row>
    <row r="334">
      <c r="A334" s="55"/>
      <c r="C334" s="87"/>
      <c r="D334" s="56"/>
      <c r="E334" s="57"/>
      <c r="H334" s="57"/>
      <c r="I334" s="57"/>
    </row>
    <row r="335">
      <c r="A335" s="55"/>
      <c r="C335" s="87"/>
      <c r="D335" s="56"/>
      <c r="E335" s="57"/>
      <c r="H335" s="57"/>
      <c r="I335" s="57"/>
    </row>
    <row r="336">
      <c r="A336" s="55"/>
      <c r="C336" s="87"/>
      <c r="D336" s="56"/>
      <c r="E336" s="57"/>
      <c r="H336" s="57"/>
      <c r="I336" s="57"/>
    </row>
    <row r="337">
      <c r="A337" s="55"/>
      <c r="C337" s="87"/>
      <c r="D337" s="56"/>
      <c r="E337" s="57"/>
      <c r="H337" s="57"/>
      <c r="I337" s="57"/>
    </row>
    <row r="338">
      <c r="A338" s="55"/>
      <c r="C338" s="87"/>
      <c r="D338" s="56"/>
      <c r="E338" s="57"/>
      <c r="H338" s="57"/>
      <c r="I338" s="57"/>
    </row>
    <row r="339">
      <c r="A339" s="55"/>
      <c r="C339" s="87"/>
      <c r="D339" s="56"/>
      <c r="E339" s="57"/>
      <c r="H339" s="57"/>
      <c r="I339" s="57"/>
    </row>
    <row r="340">
      <c r="A340" s="55"/>
      <c r="C340" s="87"/>
      <c r="D340" s="56"/>
      <c r="E340" s="57"/>
      <c r="H340" s="57"/>
      <c r="I340" s="57"/>
    </row>
    <row r="341">
      <c r="A341" s="55"/>
      <c r="C341" s="87"/>
      <c r="D341" s="56"/>
      <c r="E341" s="57"/>
      <c r="H341" s="57"/>
      <c r="I341" s="57"/>
    </row>
    <row r="342">
      <c r="A342" s="55"/>
      <c r="C342" s="87"/>
      <c r="D342" s="56"/>
      <c r="E342" s="57"/>
      <c r="H342" s="57"/>
      <c r="I342" s="57"/>
    </row>
    <row r="343">
      <c r="A343" s="55"/>
      <c r="C343" s="87"/>
      <c r="D343" s="56"/>
      <c r="E343" s="57"/>
      <c r="H343" s="57"/>
      <c r="I343" s="57"/>
    </row>
    <row r="344">
      <c r="A344" s="55"/>
      <c r="C344" s="87"/>
      <c r="D344" s="56"/>
      <c r="E344" s="57"/>
      <c r="H344" s="57"/>
      <c r="I344" s="57"/>
    </row>
    <row r="345">
      <c r="A345" s="55"/>
      <c r="C345" s="87"/>
      <c r="D345" s="56"/>
      <c r="E345" s="57"/>
      <c r="H345" s="57"/>
      <c r="I345" s="57"/>
    </row>
    <row r="346">
      <c r="A346" s="55"/>
      <c r="C346" s="87"/>
      <c r="D346" s="56"/>
      <c r="E346" s="57"/>
      <c r="H346" s="57"/>
      <c r="I346" s="57"/>
    </row>
    <row r="347">
      <c r="A347" s="55"/>
      <c r="C347" s="87"/>
      <c r="D347" s="56"/>
      <c r="E347" s="57"/>
      <c r="H347" s="57"/>
      <c r="I347" s="57"/>
    </row>
    <row r="348">
      <c r="A348" s="55"/>
      <c r="C348" s="87"/>
      <c r="D348" s="56"/>
      <c r="E348" s="57"/>
      <c r="H348" s="57"/>
      <c r="I348" s="57"/>
    </row>
    <row r="349">
      <c r="A349" s="55"/>
      <c r="C349" s="87"/>
      <c r="D349" s="56"/>
      <c r="E349" s="57"/>
      <c r="H349" s="57"/>
      <c r="I349" s="57"/>
    </row>
    <row r="350">
      <c r="A350" s="55"/>
      <c r="C350" s="87"/>
      <c r="D350" s="56"/>
      <c r="E350" s="57"/>
      <c r="H350" s="57"/>
      <c r="I350" s="57"/>
    </row>
    <row r="351">
      <c r="A351" s="55"/>
      <c r="C351" s="87"/>
      <c r="D351" s="56"/>
      <c r="E351" s="57"/>
      <c r="H351" s="57"/>
      <c r="I351" s="57"/>
    </row>
    <row r="352">
      <c r="A352" s="55"/>
      <c r="C352" s="87"/>
      <c r="D352" s="56"/>
      <c r="E352" s="57"/>
      <c r="H352" s="57"/>
      <c r="I352" s="57"/>
    </row>
    <row r="353">
      <c r="A353" s="55"/>
      <c r="C353" s="87"/>
      <c r="D353" s="56"/>
      <c r="E353" s="57"/>
      <c r="H353" s="57"/>
      <c r="I353" s="57"/>
    </row>
    <row r="354">
      <c r="A354" s="55"/>
      <c r="C354" s="87"/>
      <c r="D354" s="56"/>
      <c r="E354" s="57"/>
      <c r="H354" s="57"/>
      <c r="I354" s="57"/>
    </row>
    <row r="355">
      <c r="A355" s="55"/>
      <c r="C355" s="87"/>
      <c r="D355" s="56"/>
      <c r="E355" s="57"/>
      <c r="H355" s="57"/>
      <c r="I355" s="57"/>
    </row>
    <row r="356">
      <c r="A356" s="55"/>
      <c r="C356" s="87"/>
      <c r="D356" s="56"/>
      <c r="E356" s="57"/>
      <c r="H356" s="57"/>
      <c r="I356" s="57"/>
    </row>
    <row r="357">
      <c r="A357" s="55"/>
      <c r="C357" s="87"/>
      <c r="D357" s="56"/>
      <c r="E357" s="57"/>
      <c r="H357" s="57"/>
      <c r="I357" s="57"/>
    </row>
    <row r="358">
      <c r="A358" s="55"/>
      <c r="C358" s="87"/>
      <c r="D358" s="56"/>
      <c r="E358" s="57"/>
      <c r="H358" s="57"/>
      <c r="I358" s="57"/>
    </row>
    <row r="359">
      <c r="A359" s="55"/>
      <c r="C359" s="87"/>
      <c r="D359" s="56"/>
      <c r="E359" s="57"/>
      <c r="H359" s="57"/>
      <c r="I359" s="57"/>
    </row>
    <row r="360">
      <c r="A360" s="55"/>
      <c r="C360" s="87"/>
      <c r="D360" s="56"/>
      <c r="E360" s="57"/>
      <c r="H360" s="57"/>
      <c r="I360" s="57"/>
    </row>
    <row r="361">
      <c r="A361" s="55"/>
      <c r="C361" s="87"/>
      <c r="D361" s="56"/>
      <c r="E361" s="57"/>
      <c r="H361" s="57"/>
      <c r="I361" s="57"/>
    </row>
    <row r="362">
      <c r="A362" s="55"/>
      <c r="C362" s="87"/>
      <c r="D362" s="56"/>
      <c r="E362" s="57"/>
      <c r="H362" s="57"/>
      <c r="I362" s="57"/>
    </row>
    <row r="363">
      <c r="A363" s="55"/>
      <c r="C363" s="87"/>
      <c r="D363" s="56"/>
      <c r="E363" s="57"/>
      <c r="H363" s="57"/>
      <c r="I363" s="57"/>
    </row>
    <row r="364">
      <c r="A364" s="55"/>
      <c r="C364" s="87"/>
      <c r="D364" s="56"/>
      <c r="E364" s="57"/>
      <c r="H364" s="57"/>
      <c r="I364" s="57"/>
    </row>
    <row r="365">
      <c r="A365" s="55"/>
      <c r="C365" s="87"/>
      <c r="D365" s="56"/>
      <c r="E365" s="57"/>
      <c r="H365" s="57"/>
      <c r="I365" s="57"/>
    </row>
    <row r="366">
      <c r="A366" s="55"/>
      <c r="C366" s="87"/>
      <c r="D366" s="56"/>
      <c r="E366" s="57"/>
      <c r="H366" s="57"/>
      <c r="I366" s="57"/>
    </row>
    <row r="367">
      <c r="A367" s="55"/>
      <c r="C367" s="87"/>
      <c r="D367" s="56"/>
      <c r="E367" s="57"/>
      <c r="H367" s="57"/>
      <c r="I367" s="57"/>
    </row>
    <row r="368">
      <c r="A368" s="55"/>
      <c r="C368" s="87"/>
      <c r="D368" s="56"/>
      <c r="E368" s="57"/>
      <c r="H368" s="57"/>
      <c r="I368" s="57"/>
    </row>
    <row r="369">
      <c r="A369" s="55"/>
      <c r="C369" s="87"/>
      <c r="D369" s="56"/>
      <c r="E369" s="57"/>
      <c r="H369" s="57"/>
      <c r="I369" s="57"/>
    </row>
    <row r="370">
      <c r="A370" s="55"/>
      <c r="C370" s="87"/>
      <c r="D370" s="56"/>
      <c r="E370" s="57"/>
      <c r="H370" s="57"/>
      <c r="I370" s="57"/>
    </row>
    <row r="371">
      <c r="A371" s="55"/>
      <c r="C371" s="87"/>
      <c r="D371" s="56"/>
      <c r="E371" s="57"/>
      <c r="H371" s="57"/>
      <c r="I371" s="57"/>
    </row>
    <row r="372">
      <c r="A372" s="55"/>
      <c r="C372" s="87"/>
      <c r="D372" s="56"/>
      <c r="E372" s="57"/>
      <c r="H372" s="57"/>
      <c r="I372" s="57"/>
    </row>
    <row r="373">
      <c r="A373" s="55"/>
      <c r="C373" s="87"/>
      <c r="D373" s="56"/>
      <c r="E373" s="57"/>
      <c r="H373" s="57"/>
      <c r="I373" s="57"/>
    </row>
    <row r="374">
      <c r="A374" s="55"/>
      <c r="C374" s="87"/>
      <c r="D374" s="56"/>
      <c r="E374" s="57"/>
      <c r="H374" s="57"/>
      <c r="I374" s="57"/>
    </row>
    <row r="375">
      <c r="A375" s="55"/>
      <c r="C375" s="87"/>
      <c r="D375" s="56"/>
      <c r="E375" s="57"/>
      <c r="H375" s="57"/>
      <c r="I375" s="57"/>
    </row>
    <row r="376">
      <c r="A376" s="55"/>
      <c r="C376" s="87"/>
      <c r="D376" s="56"/>
      <c r="E376" s="57"/>
      <c r="H376" s="57"/>
      <c r="I376" s="57"/>
    </row>
    <row r="377">
      <c r="A377" s="55"/>
      <c r="C377" s="87"/>
      <c r="D377" s="56"/>
      <c r="E377" s="57"/>
      <c r="H377" s="57"/>
      <c r="I377" s="57"/>
    </row>
    <row r="378">
      <c r="A378" s="55"/>
      <c r="C378" s="87"/>
      <c r="D378" s="56"/>
      <c r="E378" s="57"/>
      <c r="H378" s="57"/>
      <c r="I378" s="57"/>
    </row>
    <row r="379">
      <c r="A379" s="55"/>
      <c r="C379" s="87"/>
      <c r="D379" s="56"/>
      <c r="E379" s="57"/>
      <c r="H379" s="57"/>
      <c r="I379" s="57"/>
    </row>
    <row r="380">
      <c r="A380" s="55"/>
      <c r="C380" s="87"/>
      <c r="D380" s="56"/>
      <c r="E380" s="57"/>
      <c r="H380" s="57"/>
      <c r="I380" s="57"/>
    </row>
    <row r="381">
      <c r="A381" s="55"/>
      <c r="C381" s="87"/>
      <c r="D381" s="56"/>
      <c r="E381" s="57"/>
      <c r="H381" s="57"/>
      <c r="I381" s="57"/>
    </row>
    <row r="382">
      <c r="A382" s="55"/>
      <c r="C382" s="87"/>
      <c r="D382" s="56"/>
      <c r="E382" s="57"/>
      <c r="H382" s="57"/>
      <c r="I382" s="57"/>
    </row>
    <row r="383">
      <c r="A383" s="55"/>
      <c r="C383" s="87"/>
      <c r="D383" s="56"/>
      <c r="E383" s="57"/>
      <c r="H383" s="57"/>
      <c r="I383" s="57"/>
    </row>
    <row r="384">
      <c r="A384" s="55"/>
      <c r="C384" s="87"/>
      <c r="D384" s="56"/>
      <c r="E384" s="57"/>
      <c r="H384" s="57"/>
      <c r="I384" s="57"/>
    </row>
    <row r="385">
      <c r="A385" s="55"/>
      <c r="C385" s="87"/>
      <c r="D385" s="56"/>
      <c r="E385" s="57"/>
      <c r="H385" s="57"/>
      <c r="I385" s="57"/>
    </row>
    <row r="386">
      <c r="A386" s="55"/>
      <c r="C386" s="87"/>
      <c r="D386" s="56"/>
      <c r="E386" s="57"/>
      <c r="H386" s="57"/>
      <c r="I386" s="57"/>
    </row>
    <row r="387">
      <c r="A387" s="55"/>
      <c r="C387" s="87"/>
      <c r="D387" s="56"/>
      <c r="E387" s="57"/>
      <c r="H387" s="57"/>
      <c r="I387" s="57"/>
    </row>
    <row r="388">
      <c r="A388" s="55"/>
      <c r="C388" s="87"/>
      <c r="D388" s="56"/>
      <c r="E388" s="57"/>
      <c r="H388" s="57"/>
      <c r="I388" s="57"/>
    </row>
    <row r="389">
      <c r="A389" s="55"/>
      <c r="C389" s="87"/>
      <c r="D389" s="56"/>
      <c r="E389" s="57"/>
      <c r="H389" s="57"/>
      <c r="I389" s="57"/>
    </row>
    <row r="390">
      <c r="A390" s="55"/>
      <c r="C390" s="87"/>
      <c r="D390" s="56"/>
      <c r="E390" s="57"/>
      <c r="H390" s="57"/>
      <c r="I390" s="57"/>
    </row>
    <row r="391">
      <c r="A391" s="55"/>
      <c r="C391" s="87"/>
      <c r="D391" s="56"/>
      <c r="E391" s="57"/>
      <c r="H391" s="57"/>
      <c r="I391" s="57"/>
    </row>
    <row r="392">
      <c r="A392" s="55"/>
      <c r="C392" s="87"/>
      <c r="D392" s="56"/>
      <c r="E392" s="57"/>
      <c r="H392" s="57"/>
      <c r="I392" s="57"/>
    </row>
    <row r="393">
      <c r="A393" s="55"/>
      <c r="C393" s="87"/>
      <c r="D393" s="56"/>
      <c r="E393" s="57"/>
      <c r="H393" s="57"/>
      <c r="I393" s="57"/>
    </row>
    <row r="394">
      <c r="A394" s="55"/>
      <c r="C394" s="87"/>
      <c r="D394" s="56"/>
      <c r="E394" s="57"/>
      <c r="H394" s="57"/>
      <c r="I394" s="57"/>
    </row>
    <row r="395">
      <c r="A395" s="55"/>
      <c r="C395" s="87"/>
      <c r="D395" s="56"/>
      <c r="E395" s="57"/>
      <c r="H395" s="57"/>
      <c r="I395" s="57"/>
    </row>
    <row r="396">
      <c r="A396" s="55"/>
      <c r="C396" s="87"/>
      <c r="D396" s="56"/>
      <c r="E396" s="57"/>
      <c r="H396" s="57"/>
      <c r="I396" s="57"/>
    </row>
    <row r="397">
      <c r="A397" s="55"/>
      <c r="C397" s="87"/>
      <c r="D397" s="56"/>
      <c r="E397" s="57"/>
      <c r="H397" s="57"/>
      <c r="I397" s="57"/>
    </row>
    <row r="398">
      <c r="A398" s="55"/>
      <c r="C398" s="87"/>
      <c r="D398" s="56"/>
      <c r="E398" s="57"/>
      <c r="H398" s="57"/>
      <c r="I398" s="57"/>
    </row>
    <row r="399">
      <c r="A399" s="55"/>
      <c r="C399" s="87"/>
      <c r="D399" s="56"/>
      <c r="E399" s="57"/>
      <c r="H399" s="57"/>
      <c r="I399" s="57"/>
    </row>
    <row r="400">
      <c r="A400" s="55"/>
      <c r="C400" s="87"/>
      <c r="D400" s="56"/>
      <c r="E400" s="57"/>
      <c r="H400" s="57"/>
      <c r="I400" s="57"/>
    </row>
    <row r="401">
      <c r="A401" s="55"/>
      <c r="C401" s="87"/>
      <c r="D401" s="56"/>
      <c r="E401" s="57"/>
      <c r="H401" s="57"/>
      <c r="I401" s="57"/>
    </row>
    <row r="402">
      <c r="A402" s="55"/>
      <c r="C402" s="87"/>
      <c r="D402" s="56"/>
      <c r="E402" s="57"/>
      <c r="H402" s="57"/>
      <c r="I402" s="57"/>
    </row>
    <row r="403">
      <c r="A403" s="55"/>
      <c r="C403" s="87"/>
      <c r="D403" s="56"/>
      <c r="E403" s="57"/>
      <c r="H403" s="57"/>
      <c r="I403" s="57"/>
    </row>
    <row r="404">
      <c r="A404" s="55"/>
      <c r="C404" s="87"/>
      <c r="D404" s="56"/>
      <c r="E404" s="57"/>
      <c r="H404" s="57"/>
      <c r="I404" s="57"/>
    </row>
    <row r="405">
      <c r="A405" s="55"/>
      <c r="C405" s="87"/>
      <c r="D405" s="56"/>
      <c r="E405" s="57"/>
      <c r="H405" s="57"/>
      <c r="I405" s="57"/>
    </row>
    <row r="406">
      <c r="A406" s="55"/>
      <c r="C406" s="87"/>
      <c r="D406" s="56"/>
      <c r="E406" s="57"/>
      <c r="H406" s="57"/>
      <c r="I406" s="57"/>
    </row>
    <row r="407">
      <c r="A407" s="55"/>
      <c r="C407" s="87"/>
      <c r="D407" s="56"/>
      <c r="E407" s="57"/>
      <c r="H407" s="57"/>
      <c r="I407" s="57"/>
    </row>
    <row r="408">
      <c r="A408" s="55"/>
      <c r="C408" s="87"/>
      <c r="D408" s="56"/>
      <c r="E408" s="57"/>
      <c r="H408" s="57"/>
      <c r="I408" s="57"/>
    </row>
    <row r="409">
      <c r="A409" s="55"/>
      <c r="C409" s="87"/>
      <c r="D409" s="56"/>
      <c r="E409" s="57"/>
      <c r="H409" s="57"/>
      <c r="I409" s="57"/>
    </row>
    <row r="410">
      <c r="A410" s="55"/>
      <c r="C410" s="87"/>
      <c r="D410" s="56"/>
      <c r="E410" s="57"/>
      <c r="H410" s="57"/>
      <c r="I410" s="57"/>
    </row>
    <row r="411">
      <c r="A411" s="55"/>
      <c r="C411" s="87"/>
      <c r="D411" s="56"/>
      <c r="E411" s="57"/>
      <c r="H411" s="57"/>
      <c r="I411" s="57"/>
    </row>
    <row r="412">
      <c r="A412" s="55"/>
      <c r="C412" s="87"/>
      <c r="D412" s="56"/>
      <c r="E412" s="57"/>
      <c r="H412" s="57"/>
      <c r="I412" s="57"/>
    </row>
    <row r="413">
      <c r="A413" s="55"/>
      <c r="C413" s="87"/>
      <c r="D413" s="56"/>
      <c r="E413" s="57"/>
      <c r="H413" s="57"/>
      <c r="I413" s="57"/>
    </row>
    <row r="414">
      <c r="A414" s="55"/>
      <c r="C414" s="87"/>
      <c r="D414" s="56"/>
      <c r="E414" s="57"/>
      <c r="H414" s="57"/>
      <c r="I414" s="57"/>
    </row>
    <row r="415">
      <c r="A415" s="55"/>
      <c r="C415" s="87"/>
      <c r="D415" s="56"/>
      <c r="E415" s="57"/>
      <c r="H415" s="57"/>
      <c r="I415" s="57"/>
    </row>
    <row r="416">
      <c r="A416" s="55"/>
      <c r="C416" s="87"/>
      <c r="D416" s="56"/>
      <c r="E416" s="57"/>
      <c r="H416" s="57"/>
      <c r="I416" s="57"/>
    </row>
    <row r="417">
      <c r="A417" s="55"/>
      <c r="C417" s="87"/>
      <c r="D417" s="56"/>
      <c r="E417" s="57"/>
      <c r="H417" s="57"/>
      <c r="I417" s="57"/>
    </row>
    <row r="418">
      <c r="A418" s="55"/>
      <c r="C418" s="87"/>
      <c r="D418" s="56"/>
      <c r="E418" s="57"/>
      <c r="H418" s="57"/>
      <c r="I418" s="57"/>
    </row>
    <row r="419">
      <c r="A419" s="55"/>
      <c r="C419" s="87"/>
      <c r="D419" s="56"/>
      <c r="E419" s="57"/>
      <c r="H419" s="57"/>
      <c r="I419" s="57"/>
    </row>
    <row r="420">
      <c r="A420" s="55"/>
      <c r="C420" s="87"/>
      <c r="D420" s="56"/>
      <c r="E420" s="57"/>
      <c r="H420" s="57"/>
      <c r="I420" s="57"/>
    </row>
    <row r="421">
      <c r="A421" s="55"/>
      <c r="C421" s="87"/>
      <c r="D421" s="56"/>
      <c r="E421" s="57"/>
      <c r="H421" s="57"/>
      <c r="I421" s="57"/>
    </row>
    <row r="422">
      <c r="A422" s="55"/>
      <c r="C422" s="87"/>
      <c r="D422" s="56"/>
      <c r="E422" s="57"/>
      <c r="H422" s="57"/>
      <c r="I422" s="57"/>
    </row>
    <row r="423">
      <c r="A423" s="55"/>
      <c r="C423" s="87"/>
      <c r="D423" s="56"/>
      <c r="E423" s="57"/>
      <c r="H423" s="57"/>
      <c r="I423" s="57"/>
    </row>
    <row r="424">
      <c r="A424" s="55"/>
      <c r="C424" s="87"/>
      <c r="D424" s="56"/>
      <c r="E424" s="57"/>
      <c r="H424" s="57"/>
      <c r="I424" s="57"/>
    </row>
    <row r="425">
      <c r="A425" s="55"/>
      <c r="C425" s="87"/>
      <c r="D425" s="56"/>
      <c r="E425" s="57"/>
      <c r="H425" s="57"/>
      <c r="I425" s="57"/>
    </row>
    <row r="426">
      <c r="A426" s="55"/>
      <c r="C426" s="87"/>
      <c r="D426" s="56"/>
      <c r="E426" s="57"/>
      <c r="H426" s="57"/>
      <c r="I426" s="57"/>
    </row>
    <row r="427">
      <c r="A427" s="55"/>
      <c r="C427" s="87"/>
      <c r="D427" s="56"/>
      <c r="E427" s="57"/>
      <c r="H427" s="57"/>
      <c r="I427" s="57"/>
    </row>
    <row r="428">
      <c r="A428" s="55"/>
      <c r="C428" s="87"/>
      <c r="D428" s="56"/>
      <c r="E428" s="57"/>
      <c r="H428" s="57"/>
      <c r="I428" s="57"/>
    </row>
    <row r="429">
      <c r="A429" s="55"/>
      <c r="C429" s="87"/>
      <c r="D429" s="56"/>
      <c r="E429" s="57"/>
      <c r="H429" s="57"/>
      <c r="I429" s="57"/>
    </row>
    <row r="430">
      <c r="A430" s="55"/>
      <c r="C430" s="87"/>
      <c r="D430" s="56"/>
      <c r="E430" s="57"/>
      <c r="H430" s="57"/>
      <c r="I430" s="57"/>
    </row>
    <row r="431">
      <c r="A431" s="55"/>
      <c r="C431" s="87"/>
      <c r="D431" s="56"/>
      <c r="E431" s="57"/>
      <c r="H431" s="57"/>
      <c r="I431" s="57"/>
    </row>
    <row r="432">
      <c r="A432" s="55"/>
      <c r="C432" s="87"/>
      <c r="D432" s="56"/>
      <c r="E432" s="57"/>
      <c r="H432" s="57"/>
      <c r="I432" s="57"/>
    </row>
    <row r="433">
      <c r="A433" s="55"/>
      <c r="C433" s="87"/>
      <c r="D433" s="56"/>
      <c r="E433" s="57"/>
      <c r="H433" s="57"/>
      <c r="I433" s="57"/>
    </row>
    <row r="434">
      <c r="A434" s="55"/>
      <c r="C434" s="87"/>
      <c r="D434" s="56"/>
      <c r="E434" s="57"/>
      <c r="H434" s="57"/>
      <c r="I434" s="57"/>
    </row>
    <row r="435">
      <c r="A435" s="55"/>
      <c r="C435" s="87"/>
      <c r="D435" s="56"/>
      <c r="E435" s="57"/>
      <c r="H435" s="57"/>
      <c r="I435" s="57"/>
    </row>
    <row r="436">
      <c r="A436" s="55"/>
      <c r="C436" s="87"/>
      <c r="D436" s="56"/>
      <c r="E436" s="57"/>
      <c r="H436" s="57"/>
      <c r="I436" s="57"/>
    </row>
    <row r="437">
      <c r="A437" s="55"/>
      <c r="C437" s="87"/>
      <c r="D437" s="56"/>
      <c r="E437" s="57"/>
      <c r="H437" s="57"/>
      <c r="I437" s="57"/>
    </row>
    <row r="438">
      <c r="A438" s="55"/>
      <c r="C438" s="87"/>
      <c r="D438" s="56"/>
      <c r="E438" s="57"/>
      <c r="H438" s="57"/>
      <c r="I438" s="57"/>
    </row>
    <row r="439">
      <c r="A439" s="55"/>
      <c r="C439" s="87"/>
      <c r="D439" s="56"/>
      <c r="E439" s="57"/>
      <c r="H439" s="57"/>
      <c r="I439" s="57"/>
    </row>
    <row r="440">
      <c r="A440" s="55"/>
      <c r="C440" s="87"/>
      <c r="D440" s="56"/>
      <c r="E440" s="57"/>
      <c r="H440" s="57"/>
      <c r="I440" s="57"/>
    </row>
    <row r="441">
      <c r="A441" s="55"/>
      <c r="C441" s="87"/>
      <c r="D441" s="56"/>
      <c r="E441" s="57"/>
      <c r="H441" s="57"/>
      <c r="I441" s="57"/>
    </row>
    <row r="442">
      <c r="A442" s="55"/>
      <c r="C442" s="87"/>
      <c r="D442" s="56"/>
      <c r="E442" s="57"/>
      <c r="H442" s="57"/>
      <c r="I442" s="57"/>
    </row>
    <row r="443">
      <c r="A443" s="55"/>
      <c r="C443" s="87"/>
      <c r="D443" s="56"/>
      <c r="E443" s="57"/>
      <c r="H443" s="57"/>
      <c r="I443" s="57"/>
    </row>
    <row r="444">
      <c r="A444" s="55"/>
      <c r="C444" s="87"/>
      <c r="D444" s="56"/>
      <c r="E444" s="57"/>
      <c r="H444" s="57"/>
      <c r="I444" s="57"/>
    </row>
    <row r="445">
      <c r="A445" s="55"/>
      <c r="C445" s="87"/>
      <c r="D445" s="56"/>
      <c r="E445" s="57"/>
      <c r="H445" s="57"/>
      <c r="I445" s="57"/>
    </row>
    <row r="446">
      <c r="A446" s="55"/>
      <c r="C446" s="87"/>
      <c r="D446" s="56"/>
      <c r="E446" s="57"/>
      <c r="H446" s="57"/>
      <c r="I446" s="57"/>
    </row>
    <row r="447">
      <c r="A447" s="55"/>
      <c r="C447" s="87"/>
      <c r="D447" s="56"/>
      <c r="E447" s="57"/>
      <c r="H447" s="57"/>
      <c r="I447" s="57"/>
    </row>
    <row r="448">
      <c r="A448" s="55"/>
      <c r="C448" s="87"/>
      <c r="D448" s="56"/>
      <c r="E448" s="57"/>
      <c r="H448" s="57"/>
      <c r="I448" s="57"/>
    </row>
    <row r="449">
      <c r="A449" s="55"/>
      <c r="C449" s="87"/>
      <c r="D449" s="56"/>
      <c r="E449" s="57"/>
      <c r="H449" s="57"/>
      <c r="I449" s="57"/>
    </row>
    <row r="450">
      <c r="A450" s="55"/>
      <c r="C450" s="87"/>
      <c r="D450" s="56"/>
      <c r="E450" s="57"/>
      <c r="H450" s="57"/>
      <c r="I450" s="57"/>
    </row>
    <row r="451">
      <c r="A451" s="55"/>
      <c r="C451" s="87"/>
      <c r="D451" s="56"/>
      <c r="E451" s="57"/>
      <c r="H451" s="57"/>
      <c r="I451" s="57"/>
    </row>
    <row r="452">
      <c r="A452" s="55"/>
      <c r="C452" s="87"/>
      <c r="D452" s="56"/>
      <c r="E452" s="57"/>
      <c r="H452" s="57"/>
      <c r="I452" s="57"/>
    </row>
    <row r="453">
      <c r="A453" s="55"/>
      <c r="C453" s="87"/>
      <c r="D453" s="56"/>
      <c r="E453" s="57"/>
      <c r="H453" s="57"/>
      <c r="I453" s="57"/>
    </row>
    <row r="454">
      <c r="A454" s="55"/>
      <c r="C454" s="87"/>
      <c r="D454" s="56"/>
      <c r="E454" s="57"/>
      <c r="H454" s="57"/>
      <c r="I454" s="57"/>
    </row>
    <row r="455">
      <c r="A455" s="55"/>
      <c r="C455" s="87"/>
      <c r="D455" s="56"/>
      <c r="E455" s="57"/>
      <c r="H455" s="57"/>
      <c r="I455" s="57"/>
    </row>
    <row r="456">
      <c r="A456" s="55"/>
      <c r="C456" s="87"/>
      <c r="D456" s="56"/>
      <c r="E456" s="57"/>
      <c r="H456" s="57"/>
      <c r="I456" s="57"/>
    </row>
    <row r="457">
      <c r="A457" s="55"/>
      <c r="C457" s="87"/>
      <c r="D457" s="56"/>
      <c r="E457" s="57"/>
      <c r="H457" s="57"/>
      <c r="I457" s="57"/>
    </row>
    <row r="458">
      <c r="A458" s="55"/>
      <c r="C458" s="87"/>
      <c r="D458" s="56"/>
      <c r="E458" s="57"/>
      <c r="H458" s="57"/>
      <c r="I458" s="57"/>
    </row>
    <row r="459">
      <c r="A459" s="55"/>
      <c r="C459" s="87"/>
      <c r="D459" s="56"/>
      <c r="E459" s="57"/>
      <c r="H459" s="57"/>
      <c r="I459" s="57"/>
    </row>
    <row r="460">
      <c r="A460" s="55"/>
      <c r="C460" s="87"/>
      <c r="D460" s="56"/>
      <c r="E460" s="57"/>
      <c r="H460" s="57"/>
      <c r="I460" s="57"/>
    </row>
    <row r="461">
      <c r="A461" s="55"/>
      <c r="C461" s="87"/>
      <c r="D461" s="56"/>
      <c r="E461" s="57"/>
      <c r="H461" s="57"/>
      <c r="I461" s="57"/>
    </row>
    <row r="462">
      <c r="A462" s="55"/>
      <c r="C462" s="87"/>
      <c r="D462" s="56"/>
      <c r="E462" s="57"/>
      <c r="H462" s="57"/>
      <c r="I462" s="57"/>
    </row>
    <row r="463">
      <c r="A463" s="55"/>
      <c r="C463" s="87"/>
      <c r="D463" s="56"/>
      <c r="E463" s="57"/>
      <c r="H463" s="57"/>
      <c r="I463" s="57"/>
    </row>
    <row r="464">
      <c r="A464" s="55"/>
      <c r="C464" s="87"/>
      <c r="D464" s="56"/>
      <c r="E464" s="57"/>
      <c r="H464" s="57"/>
      <c r="I464" s="57"/>
    </row>
    <row r="465">
      <c r="A465" s="55"/>
      <c r="C465" s="87"/>
      <c r="D465" s="56"/>
      <c r="E465" s="57"/>
      <c r="H465" s="57"/>
      <c r="I465" s="57"/>
    </row>
    <row r="466">
      <c r="A466" s="55"/>
      <c r="C466" s="87"/>
      <c r="D466" s="56"/>
      <c r="E466" s="57"/>
      <c r="H466" s="57"/>
      <c r="I466" s="57"/>
    </row>
    <row r="467">
      <c r="A467" s="55"/>
      <c r="C467" s="87"/>
      <c r="D467" s="56"/>
      <c r="E467" s="57"/>
      <c r="H467" s="57"/>
      <c r="I467" s="57"/>
    </row>
    <row r="468">
      <c r="A468" s="55"/>
      <c r="C468" s="87"/>
      <c r="D468" s="56"/>
      <c r="E468" s="57"/>
      <c r="H468" s="57"/>
      <c r="I468" s="57"/>
    </row>
    <row r="469">
      <c r="A469" s="55"/>
      <c r="C469" s="87"/>
      <c r="D469" s="56"/>
      <c r="E469" s="57"/>
      <c r="H469" s="57"/>
      <c r="I469" s="57"/>
    </row>
    <row r="470">
      <c r="A470" s="55"/>
      <c r="C470" s="87"/>
      <c r="D470" s="56"/>
      <c r="E470" s="57"/>
      <c r="H470" s="57"/>
      <c r="I470" s="57"/>
    </row>
    <row r="471">
      <c r="A471" s="55"/>
      <c r="C471" s="87"/>
      <c r="D471" s="56"/>
      <c r="E471" s="57"/>
      <c r="H471" s="57"/>
      <c r="I471" s="57"/>
    </row>
    <row r="472">
      <c r="A472" s="55"/>
      <c r="C472" s="87"/>
      <c r="D472" s="56"/>
      <c r="E472" s="57"/>
      <c r="H472" s="57"/>
      <c r="I472" s="57"/>
    </row>
    <row r="473">
      <c r="A473" s="55"/>
      <c r="C473" s="87"/>
      <c r="D473" s="56"/>
      <c r="E473" s="57"/>
      <c r="H473" s="57"/>
      <c r="I473" s="57"/>
    </row>
    <row r="474">
      <c r="A474" s="55"/>
      <c r="C474" s="87"/>
      <c r="D474" s="56"/>
      <c r="E474" s="57"/>
      <c r="H474" s="57"/>
      <c r="I474" s="57"/>
    </row>
    <row r="475">
      <c r="A475" s="55"/>
      <c r="C475" s="87"/>
      <c r="D475" s="56"/>
      <c r="E475" s="57"/>
      <c r="H475" s="57"/>
      <c r="I475" s="57"/>
    </row>
    <row r="476">
      <c r="A476" s="55"/>
      <c r="C476" s="87"/>
      <c r="D476" s="56"/>
      <c r="E476" s="57"/>
      <c r="H476" s="57"/>
      <c r="I476" s="57"/>
    </row>
    <row r="477">
      <c r="A477" s="55"/>
      <c r="C477" s="87"/>
      <c r="D477" s="56"/>
      <c r="E477" s="57"/>
      <c r="H477" s="57"/>
      <c r="I477" s="57"/>
    </row>
    <row r="478">
      <c r="A478" s="55"/>
      <c r="C478" s="87"/>
      <c r="D478" s="56"/>
      <c r="E478" s="57"/>
      <c r="H478" s="57"/>
      <c r="I478" s="57"/>
    </row>
    <row r="479">
      <c r="A479" s="55"/>
      <c r="C479" s="87"/>
      <c r="D479" s="56"/>
      <c r="E479" s="57"/>
      <c r="H479" s="57"/>
      <c r="I479" s="57"/>
    </row>
    <row r="480">
      <c r="A480" s="55"/>
      <c r="C480" s="87"/>
      <c r="D480" s="56"/>
      <c r="E480" s="57"/>
      <c r="H480" s="57"/>
      <c r="I480" s="57"/>
    </row>
    <row r="481">
      <c r="A481" s="55"/>
      <c r="C481" s="87"/>
      <c r="D481" s="56"/>
      <c r="E481" s="57"/>
      <c r="H481" s="57"/>
      <c r="I481" s="57"/>
    </row>
    <row r="482">
      <c r="A482" s="55"/>
      <c r="C482" s="87"/>
      <c r="D482" s="56"/>
      <c r="E482" s="57"/>
      <c r="H482" s="57"/>
      <c r="I482" s="57"/>
    </row>
    <row r="483">
      <c r="A483" s="55"/>
      <c r="C483" s="87"/>
      <c r="D483" s="56"/>
      <c r="E483" s="57"/>
      <c r="H483" s="57"/>
      <c r="I483" s="57"/>
    </row>
    <row r="484">
      <c r="A484" s="55"/>
      <c r="C484" s="87"/>
      <c r="D484" s="56"/>
      <c r="E484" s="57"/>
      <c r="H484" s="57"/>
      <c r="I484" s="57"/>
    </row>
    <row r="485">
      <c r="A485" s="55"/>
      <c r="C485" s="87"/>
      <c r="D485" s="56"/>
      <c r="E485" s="57"/>
      <c r="H485" s="57"/>
      <c r="I485" s="57"/>
    </row>
    <row r="486">
      <c r="A486" s="55"/>
      <c r="C486" s="87"/>
      <c r="D486" s="56"/>
      <c r="E486" s="57"/>
      <c r="H486" s="57"/>
      <c r="I486" s="57"/>
    </row>
    <row r="487">
      <c r="A487" s="55"/>
      <c r="C487" s="87"/>
      <c r="D487" s="56"/>
      <c r="E487" s="57"/>
      <c r="H487" s="57"/>
      <c r="I487" s="57"/>
    </row>
    <row r="488">
      <c r="A488" s="55"/>
      <c r="C488" s="87"/>
      <c r="D488" s="56"/>
      <c r="E488" s="57"/>
      <c r="H488" s="57"/>
      <c r="I488" s="57"/>
    </row>
    <row r="489">
      <c r="A489" s="55"/>
      <c r="C489" s="87"/>
      <c r="D489" s="56"/>
      <c r="E489" s="57"/>
      <c r="H489" s="57"/>
      <c r="I489" s="57"/>
    </row>
    <row r="490">
      <c r="A490" s="55"/>
      <c r="C490" s="87"/>
      <c r="D490" s="56"/>
      <c r="E490" s="57"/>
      <c r="H490" s="57"/>
      <c r="I490" s="57"/>
    </row>
    <row r="491">
      <c r="A491" s="55"/>
      <c r="C491" s="87"/>
      <c r="D491" s="56"/>
      <c r="E491" s="57"/>
      <c r="H491" s="57"/>
      <c r="I491" s="57"/>
    </row>
    <row r="492">
      <c r="A492" s="55"/>
      <c r="C492" s="87"/>
      <c r="D492" s="56"/>
      <c r="E492" s="57"/>
      <c r="H492" s="57"/>
      <c r="I492" s="57"/>
    </row>
    <row r="493">
      <c r="A493" s="55"/>
      <c r="C493" s="87"/>
      <c r="D493" s="56"/>
      <c r="E493" s="57"/>
      <c r="H493" s="57"/>
      <c r="I493" s="57"/>
    </row>
    <row r="494">
      <c r="A494" s="55"/>
      <c r="C494" s="87"/>
      <c r="D494" s="56"/>
      <c r="E494" s="57"/>
      <c r="H494" s="57"/>
      <c r="I494" s="57"/>
    </row>
    <row r="495">
      <c r="A495" s="55"/>
      <c r="C495" s="87"/>
      <c r="D495" s="56"/>
      <c r="E495" s="57"/>
      <c r="H495" s="57"/>
      <c r="I495" s="57"/>
    </row>
    <row r="496">
      <c r="A496" s="55"/>
      <c r="C496" s="87"/>
      <c r="D496" s="56"/>
      <c r="E496" s="57"/>
      <c r="H496" s="57"/>
      <c r="I496" s="57"/>
    </row>
    <row r="497">
      <c r="A497" s="55"/>
      <c r="C497" s="87"/>
      <c r="D497" s="56"/>
      <c r="E497" s="57"/>
      <c r="H497" s="57"/>
      <c r="I497" s="57"/>
    </row>
    <row r="498">
      <c r="A498" s="55"/>
      <c r="C498" s="87"/>
      <c r="D498" s="56"/>
      <c r="E498" s="57"/>
      <c r="H498" s="57"/>
      <c r="I498" s="57"/>
    </row>
    <row r="499">
      <c r="A499" s="55"/>
      <c r="C499" s="87"/>
      <c r="D499" s="56"/>
      <c r="E499" s="57"/>
      <c r="H499" s="57"/>
      <c r="I499" s="57"/>
    </row>
    <row r="500">
      <c r="A500" s="55"/>
      <c r="C500" s="87"/>
      <c r="D500" s="56"/>
      <c r="E500" s="57"/>
      <c r="H500" s="57"/>
      <c r="I500" s="57"/>
    </row>
    <row r="501">
      <c r="A501" s="55"/>
      <c r="C501" s="87"/>
      <c r="D501" s="56"/>
      <c r="E501" s="57"/>
      <c r="H501" s="57"/>
      <c r="I501" s="57"/>
    </row>
    <row r="502">
      <c r="A502" s="55"/>
      <c r="C502" s="87"/>
      <c r="D502" s="56"/>
      <c r="E502" s="57"/>
      <c r="H502" s="57"/>
      <c r="I502" s="57"/>
    </row>
    <row r="503">
      <c r="A503" s="55"/>
      <c r="C503" s="87"/>
      <c r="D503" s="56"/>
      <c r="E503" s="57"/>
      <c r="H503" s="57"/>
      <c r="I503" s="57"/>
    </row>
    <row r="504">
      <c r="A504" s="55"/>
      <c r="C504" s="87"/>
      <c r="D504" s="56"/>
      <c r="E504" s="57"/>
      <c r="H504" s="57"/>
      <c r="I504" s="57"/>
    </row>
    <row r="505">
      <c r="A505" s="55"/>
      <c r="C505" s="87"/>
      <c r="D505" s="56"/>
      <c r="E505" s="57"/>
      <c r="H505" s="57"/>
      <c r="I505" s="57"/>
    </row>
    <row r="506">
      <c r="A506" s="55"/>
      <c r="C506" s="87"/>
      <c r="D506" s="56"/>
      <c r="E506" s="57"/>
      <c r="H506" s="57"/>
      <c r="I506" s="57"/>
    </row>
    <row r="507">
      <c r="A507" s="55"/>
      <c r="C507" s="87"/>
      <c r="D507" s="56"/>
      <c r="E507" s="57"/>
      <c r="H507" s="57"/>
      <c r="I507" s="57"/>
    </row>
    <row r="508">
      <c r="A508" s="55"/>
      <c r="C508" s="87"/>
      <c r="D508" s="56"/>
      <c r="E508" s="57"/>
      <c r="H508" s="57"/>
      <c r="I508" s="57"/>
    </row>
    <row r="509">
      <c r="A509" s="55"/>
      <c r="C509" s="87"/>
      <c r="D509" s="56"/>
      <c r="E509" s="57"/>
      <c r="H509" s="57"/>
      <c r="I509" s="57"/>
    </row>
    <row r="510">
      <c r="A510" s="55"/>
      <c r="C510" s="87"/>
      <c r="D510" s="56"/>
      <c r="E510" s="57"/>
      <c r="H510" s="57"/>
      <c r="I510" s="57"/>
    </row>
    <row r="511">
      <c r="A511" s="55"/>
      <c r="C511" s="87"/>
      <c r="D511" s="56"/>
      <c r="E511" s="57"/>
      <c r="H511" s="57"/>
      <c r="I511" s="57"/>
    </row>
    <row r="512">
      <c r="A512" s="55"/>
      <c r="C512" s="87"/>
      <c r="D512" s="56"/>
      <c r="E512" s="57"/>
      <c r="H512" s="57"/>
      <c r="I512" s="57"/>
    </row>
    <row r="513">
      <c r="A513" s="55"/>
      <c r="C513" s="87"/>
      <c r="D513" s="56"/>
      <c r="E513" s="57"/>
      <c r="H513" s="57"/>
      <c r="I513" s="57"/>
    </row>
    <row r="514">
      <c r="A514" s="55"/>
      <c r="C514" s="87"/>
      <c r="D514" s="56"/>
      <c r="E514" s="57"/>
      <c r="H514" s="57"/>
      <c r="I514" s="57"/>
    </row>
    <row r="515">
      <c r="A515" s="55"/>
      <c r="C515" s="87"/>
      <c r="D515" s="56"/>
      <c r="E515" s="57"/>
      <c r="H515" s="57"/>
      <c r="I515" s="57"/>
    </row>
    <row r="516">
      <c r="A516" s="55"/>
      <c r="C516" s="87"/>
      <c r="D516" s="56"/>
      <c r="E516" s="57"/>
      <c r="H516" s="57"/>
      <c r="I516" s="57"/>
    </row>
    <row r="517">
      <c r="A517" s="55"/>
      <c r="C517" s="87"/>
      <c r="D517" s="56"/>
      <c r="E517" s="57"/>
      <c r="H517" s="57"/>
      <c r="I517" s="57"/>
    </row>
    <row r="518">
      <c r="A518" s="55"/>
      <c r="C518" s="87"/>
      <c r="D518" s="56"/>
      <c r="E518" s="57"/>
      <c r="H518" s="57"/>
      <c r="I518" s="57"/>
    </row>
    <row r="519">
      <c r="A519" s="55"/>
      <c r="C519" s="87"/>
      <c r="D519" s="56"/>
      <c r="E519" s="57"/>
      <c r="H519" s="57"/>
      <c r="I519" s="57"/>
    </row>
    <row r="520">
      <c r="A520" s="55"/>
      <c r="C520" s="87"/>
      <c r="D520" s="56"/>
      <c r="E520" s="57"/>
      <c r="H520" s="57"/>
      <c r="I520" s="57"/>
    </row>
    <row r="521">
      <c r="A521" s="55"/>
      <c r="C521" s="87"/>
      <c r="D521" s="56"/>
      <c r="E521" s="57"/>
      <c r="H521" s="57"/>
      <c r="I521" s="57"/>
    </row>
    <row r="522">
      <c r="A522" s="55"/>
      <c r="C522" s="87"/>
      <c r="D522" s="56"/>
      <c r="E522" s="57"/>
      <c r="H522" s="57"/>
      <c r="I522" s="57"/>
    </row>
    <row r="523">
      <c r="A523" s="55"/>
      <c r="C523" s="87"/>
      <c r="D523" s="56"/>
      <c r="E523" s="57"/>
      <c r="H523" s="57"/>
      <c r="I523" s="57"/>
    </row>
    <row r="524">
      <c r="A524" s="55"/>
      <c r="C524" s="87"/>
      <c r="D524" s="56"/>
      <c r="E524" s="57"/>
      <c r="H524" s="57"/>
      <c r="I524" s="57"/>
    </row>
    <row r="525">
      <c r="A525" s="55"/>
      <c r="C525" s="87"/>
      <c r="D525" s="56"/>
      <c r="E525" s="57"/>
      <c r="H525" s="57"/>
      <c r="I525" s="57"/>
    </row>
    <row r="526">
      <c r="A526" s="55"/>
      <c r="C526" s="87"/>
      <c r="D526" s="56"/>
      <c r="E526" s="57"/>
      <c r="H526" s="57"/>
      <c r="I526" s="57"/>
    </row>
    <row r="527">
      <c r="A527" s="55"/>
      <c r="C527" s="87"/>
      <c r="D527" s="56"/>
      <c r="E527" s="57"/>
      <c r="H527" s="57"/>
      <c r="I527" s="57"/>
    </row>
    <row r="528">
      <c r="A528" s="55"/>
      <c r="C528" s="87"/>
      <c r="D528" s="56"/>
      <c r="E528" s="57"/>
      <c r="H528" s="57"/>
      <c r="I528" s="57"/>
    </row>
    <row r="529">
      <c r="A529" s="55"/>
      <c r="C529" s="87"/>
      <c r="D529" s="56"/>
      <c r="E529" s="57"/>
      <c r="H529" s="57"/>
      <c r="I529" s="57"/>
    </row>
    <row r="530">
      <c r="A530" s="55"/>
      <c r="C530" s="87"/>
      <c r="D530" s="56"/>
      <c r="E530" s="57"/>
      <c r="H530" s="57"/>
      <c r="I530" s="57"/>
    </row>
    <row r="531">
      <c r="A531" s="55"/>
      <c r="C531" s="87"/>
      <c r="D531" s="56"/>
      <c r="E531" s="57"/>
      <c r="H531" s="57"/>
      <c r="I531" s="57"/>
    </row>
    <row r="532">
      <c r="A532" s="55"/>
      <c r="C532" s="87"/>
      <c r="D532" s="56"/>
      <c r="E532" s="57"/>
      <c r="H532" s="57"/>
      <c r="I532" s="57"/>
    </row>
    <row r="533">
      <c r="A533" s="55"/>
      <c r="C533" s="87"/>
      <c r="D533" s="56"/>
      <c r="E533" s="57"/>
      <c r="H533" s="57"/>
      <c r="I533" s="57"/>
    </row>
    <row r="534">
      <c r="A534" s="55"/>
      <c r="C534" s="87"/>
      <c r="D534" s="56"/>
      <c r="E534" s="57"/>
      <c r="H534" s="57"/>
      <c r="I534" s="57"/>
    </row>
    <row r="535">
      <c r="A535" s="55"/>
      <c r="C535" s="87"/>
      <c r="D535" s="56"/>
      <c r="E535" s="57"/>
      <c r="H535" s="57"/>
      <c r="I535" s="57"/>
    </row>
    <row r="536">
      <c r="A536" s="55"/>
      <c r="C536" s="87"/>
      <c r="D536" s="56"/>
      <c r="E536" s="57"/>
      <c r="H536" s="57"/>
      <c r="I536" s="57"/>
    </row>
    <row r="537">
      <c r="A537" s="55"/>
      <c r="C537" s="87"/>
      <c r="D537" s="56"/>
      <c r="E537" s="57"/>
      <c r="H537" s="57"/>
      <c r="I537" s="57"/>
    </row>
    <row r="538">
      <c r="A538" s="55"/>
      <c r="C538" s="87"/>
      <c r="D538" s="56"/>
      <c r="E538" s="57"/>
      <c r="H538" s="57"/>
      <c r="I538" s="57"/>
    </row>
    <row r="539">
      <c r="A539" s="55"/>
      <c r="C539" s="87"/>
      <c r="D539" s="56"/>
      <c r="E539" s="57"/>
      <c r="H539" s="57"/>
      <c r="I539" s="57"/>
    </row>
    <row r="540">
      <c r="A540" s="55"/>
      <c r="C540" s="87"/>
      <c r="D540" s="56"/>
      <c r="E540" s="57"/>
      <c r="H540" s="57"/>
      <c r="I540" s="57"/>
    </row>
    <row r="541">
      <c r="A541" s="55"/>
      <c r="C541" s="87"/>
      <c r="D541" s="56"/>
      <c r="E541" s="57"/>
      <c r="H541" s="57"/>
      <c r="I541" s="57"/>
    </row>
    <row r="542">
      <c r="A542" s="55"/>
      <c r="C542" s="87"/>
      <c r="D542" s="56"/>
      <c r="E542" s="57"/>
      <c r="H542" s="57"/>
      <c r="I542" s="57"/>
    </row>
    <row r="543">
      <c r="A543" s="55"/>
      <c r="C543" s="87"/>
      <c r="D543" s="56"/>
      <c r="E543" s="57"/>
      <c r="H543" s="57"/>
      <c r="I543" s="57"/>
    </row>
    <row r="544">
      <c r="A544" s="55"/>
      <c r="C544" s="87"/>
      <c r="D544" s="56"/>
      <c r="E544" s="57"/>
      <c r="H544" s="57"/>
      <c r="I544" s="57"/>
    </row>
    <row r="545">
      <c r="A545" s="55"/>
      <c r="C545" s="87"/>
      <c r="D545" s="56"/>
      <c r="E545" s="57"/>
      <c r="H545" s="57"/>
      <c r="I545" s="57"/>
    </row>
    <row r="546">
      <c r="A546" s="55"/>
      <c r="C546" s="87"/>
      <c r="D546" s="56"/>
      <c r="E546" s="57"/>
      <c r="H546" s="57"/>
      <c r="I546" s="57"/>
    </row>
    <row r="547">
      <c r="A547" s="55"/>
      <c r="C547" s="87"/>
      <c r="D547" s="56"/>
      <c r="E547" s="57"/>
      <c r="H547" s="57"/>
      <c r="I547" s="57"/>
    </row>
    <row r="548">
      <c r="A548" s="55"/>
      <c r="C548" s="87"/>
      <c r="D548" s="56"/>
      <c r="E548" s="57"/>
      <c r="H548" s="57"/>
      <c r="I548" s="57"/>
    </row>
    <row r="549">
      <c r="A549" s="55"/>
      <c r="C549" s="87"/>
      <c r="D549" s="56"/>
      <c r="E549" s="57"/>
      <c r="H549" s="57"/>
      <c r="I549" s="57"/>
    </row>
    <row r="550">
      <c r="A550" s="55"/>
      <c r="C550" s="87"/>
      <c r="D550" s="56"/>
      <c r="E550" s="57"/>
      <c r="H550" s="57"/>
      <c r="I550" s="57"/>
    </row>
    <row r="551">
      <c r="A551" s="55"/>
      <c r="C551" s="87"/>
      <c r="D551" s="56"/>
      <c r="E551" s="57"/>
      <c r="H551" s="57"/>
      <c r="I551" s="57"/>
    </row>
    <row r="552">
      <c r="A552" s="55"/>
      <c r="C552" s="87"/>
      <c r="D552" s="56"/>
      <c r="E552" s="57"/>
      <c r="H552" s="57"/>
      <c r="I552" s="57"/>
    </row>
    <row r="553">
      <c r="A553" s="55"/>
      <c r="C553" s="87"/>
      <c r="D553" s="56"/>
      <c r="E553" s="57"/>
      <c r="H553" s="57"/>
      <c r="I553" s="57"/>
    </row>
    <row r="554">
      <c r="A554" s="55"/>
      <c r="C554" s="87"/>
      <c r="D554" s="56"/>
      <c r="E554" s="57"/>
      <c r="H554" s="57"/>
      <c r="I554" s="57"/>
    </row>
    <row r="555">
      <c r="A555" s="55"/>
      <c r="C555" s="87"/>
      <c r="D555" s="56"/>
      <c r="E555" s="57"/>
      <c r="H555" s="57"/>
      <c r="I555" s="57"/>
    </row>
    <row r="556">
      <c r="A556" s="55"/>
      <c r="C556" s="87"/>
      <c r="D556" s="56"/>
      <c r="E556" s="57"/>
      <c r="H556" s="57"/>
      <c r="I556" s="57"/>
    </row>
    <row r="557">
      <c r="A557" s="55"/>
      <c r="C557" s="87"/>
      <c r="D557" s="56"/>
      <c r="E557" s="57"/>
      <c r="H557" s="57"/>
      <c r="I557" s="57"/>
    </row>
    <row r="558">
      <c r="A558" s="55"/>
      <c r="C558" s="87"/>
      <c r="D558" s="56"/>
      <c r="E558" s="57"/>
      <c r="H558" s="57"/>
      <c r="I558" s="57"/>
    </row>
    <row r="559">
      <c r="A559" s="55"/>
      <c r="C559" s="87"/>
      <c r="D559" s="56"/>
      <c r="E559" s="57"/>
      <c r="H559" s="57"/>
      <c r="I559" s="57"/>
    </row>
    <row r="560">
      <c r="A560" s="55"/>
      <c r="C560" s="87"/>
      <c r="D560" s="56"/>
      <c r="E560" s="57"/>
      <c r="H560" s="57"/>
      <c r="I560" s="57"/>
    </row>
    <row r="561">
      <c r="A561" s="55"/>
      <c r="C561" s="87"/>
      <c r="D561" s="56"/>
      <c r="E561" s="57"/>
      <c r="H561" s="57"/>
      <c r="I561" s="57"/>
    </row>
    <row r="562">
      <c r="A562" s="55"/>
      <c r="C562" s="87"/>
      <c r="D562" s="56"/>
      <c r="E562" s="57"/>
      <c r="H562" s="57"/>
      <c r="I562" s="57"/>
    </row>
    <row r="563">
      <c r="A563" s="55"/>
      <c r="C563" s="87"/>
      <c r="D563" s="56"/>
      <c r="E563" s="57"/>
      <c r="H563" s="57"/>
      <c r="I563" s="57"/>
    </row>
    <row r="564">
      <c r="A564" s="55"/>
      <c r="C564" s="87"/>
      <c r="D564" s="56"/>
      <c r="E564" s="57"/>
      <c r="H564" s="57"/>
      <c r="I564" s="57"/>
    </row>
    <row r="565">
      <c r="A565" s="55"/>
      <c r="C565" s="87"/>
      <c r="D565" s="56"/>
      <c r="E565" s="57"/>
      <c r="H565" s="57"/>
      <c r="I565" s="57"/>
    </row>
    <row r="566">
      <c r="A566" s="55"/>
      <c r="C566" s="87"/>
      <c r="D566" s="56"/>
      <c r="E566" s="57"/>
      <c r="H566" s="57"/>
      <c r="I566" s="57"/>
    </row>
    <row r="567">
      <c r="A567" s="55"/>
      <c r="C567" s="87"/>
      <c r="D567" s="56"/>
      <c r="E567" s="57"/>
      <c r="H567" s="57"/>
      <c r="I567" s="57"/>
    </row>
    <row r="568">
      <c r="A568" s="55"/>
      <c r="C568" s="87"/>
      <c r="D568" s="56"/>
      <c r="E568" s="57"/>
      <c r="H568" s="57"/>
      <c r="I568" s="57"/>
    </row>
    <row r="569">
      <c r="A569" s="55"/>
      <c r="C569" s="87"/>
      <c r="D569" s="56"/>
      <c r="E569" s="57"/>
      <c r="H569" s="57"/>
      <c r="I569" s="57"/>
    </row>
    <row r="570">
      <c r="A570" s="55"/>
      <c r="C570" s="87"/>
      <c r="D570" s="56"/>
      <c r="E570" s="57"/>
      <c r="H570" s="57"/>
      <c r="I570" s="57"/>
    </row>
    <row r="571">
      <c r="A571" s="55"/>
      <c r="C571" s="87"/>
      <c r="D571" s="56"/>
      <c r="E571" s="57"/>
      <c r="H571" s="57"/>
      <c r="I571" s="57"/>
    </row>
    <row r="572">
      <c r="A572" s="55"/>
      <c r="C572" s="87"/>
      <c r="D572" s="56"/>
      <c r="E572" s="57"/>
      <c r="H572" s="57"/>
      <c r="I572" s="57"/>
    </row>
    <row r="573">
      <c r="A573" s="55"/>
      <c r="C573" s="87"/>
      <c r="D573" s="56"/>
      <c r="E573" s="57"/>
      <c r="H573" s="57"/>
      <c r="I573" s="57"/>
    </row>
    <row r="574">
      <c r="A574" s="55"/>
      <c r="C574" s="87"/>
      <c r="D574" s="56"/>
      <c r="E574" s="57"/>
      <c r="H574" s="57"/>
      <c r="I574" s="57"/>
    </row>
    <row r="575">
      <c r="A575" s="55"/>
      <c r="C575" s="87"/>
      <c r="D575" s="56"/>
      <c r="E575" s="57"/>
      <c r="H575" s="57"/>
      <c r="I575" s="57"/>
    </row>
    <row r="576">
      <c r="A576" s="55"/>
      <c r="C576" s="87"/>
      <c r="D576" s="56"/>
      <c r="E576" s="57"/>
      <c r="H576" s="57"/>
      <c r="I576" s="57"/>
    </row>
    <row r="577">
      <c r="A577" s="55"/>
      <c r="C577" s="87"/>
      <c r="D577" s="56"/>
      <c r="E577" s="57"/>
      <c r="H577" s="57"/>
      <c r="I577" s="57"/>
    </row>
    <row r="578">
      <c r="A578" s="55"/>
      <c r="C578" s="87"/>
      <c r="D578" s="56"/>
      <c r="E578" s="57"/>
      <c r="H578" s="57"/>
      <c r="I578" s="57"/>
    </row>
    <row r="579">
      <c r="A579" s="55"/>
      <c r="C579" s="87"/>
      <c r="D579" s="56"/>
      <c r="E579" s="57"/>
      <c r="H579" s="57"/>
      <c r="I579" s="57"/>
    </row>
    <row r="580">
      <c r="A580" s="55"/>
      <c r="C580" s="87"/>
      <c r="D580" s="56"/>
      <c r="E580" s="57"/>
      <c r="H580" s="57"/>
      <c r="I580" s="57"/>
    </row>
    <row r="581">
      <c r="A581" s="55"/>
      <c r="C581" s="87"/>
      <c r="D581" s="56"/>
      <c r="E581" s="57"/>
      <c r="H581" s="57"/>
      <c r="I581" s="57"/>
    </row>
    <row r="582">
      <c r="A582" s="55"/>
      <c r="C582" s="87"/>
      <c r="D582" s="56"/>
      <c r="E582" s="57"/>
      <c r="H582" s="57"/>
      <c r="I582" s="57"/>
    </row>
    <row r="583">
      <c r="A583" s="55"/>
      <c r="C583" s="87"/>
      <c r="D583" s="56"/>
      <c r="E583" s="57"/>
      <c r="H583" s="57"/>
      <c r="I583" s="57"/>
    </row>
    <row r="584">
      <c r="A584" s="55"/>
      <c r="C584" s="87"/>
      <c r="D584" s="56"/>
      <c r="E584" s="57"/>
      <c r="H584" s="57"/>
      <c r="I584" s="57"/>
    </row>
    <row r="585">
      <c r="A585" s="55"/>
      <c r="C585" s="87"/>
      <c r="D585" s="56"/>
      <c r="E585" s="57"/>
      <c r="H585" s="57"/>
      <c r="I585" s="57"/>
    </row>
    <row r="586">
      <c r="A586" s="55"/>
      <c r="C586" s="87"/>
      <c r="D586" s="56"/>
      <c r="E586" s="57"/>
      <c r="H586" s="57"/>
      <c r="I586" s="57"/>
    </row>
    <row r="587">
      <c r="A587" s="55"/>
      <c r="C587" s="87"/>
      <c r="D587" s="56"/>
      <c r="E587" s="57"/>
      <c r="H587" s="57"/>
      <c r="I587" s="57"/>
    </row>
    <row r="588">
      <c r="A588" s="55"/>
      <c r="C588" s="87"/>
      <c r="D588" s="56"/>
      <c r="E588" s="57"/>
      <c r="H588" s="57"/>
      <c r="I588" s="57"/>
    </row>
    <row r="589">
      <c r="A589" s="55"/>
      <c r="C589" s="87"/>
      <c r="D589" s="56"/>
      <c r="E589" s="57"/>
      <c r="H589" s="57"/>
      <c r="I589" s="57"/>
    </row>
    <row r="590">
      <c r="A590" s="55"/>
      <c r="C590" s="87"/>
      <c r="D590" s="56"/>
      <c r="E590" s="57"/>
      <c r="H590" s="57"/>
      <c r="I590" s="57"/>
    </row>
    <row r="591">
      <c r="A591" s="55"/>
      <c r="C591" s="87"/>
      <c r="D591" s="56"/>
      <c r="E591" s="57"/>
      <c r="H591" s="57"/>
      <c r="I591" s="57"/>
    </row>
    <row r="592">
      <c r="A592" s="55"/>
      <c r="C592" s="87"/>
      <c r="D592" s="56"/>
      <c r="E592" s="57"/>
      <c r="H592" s="57"/>
      <c r="I592" s="57"/>
    </row>
    <row r="593">
      <c r="A593" s="55"/>
      <c r="C593" s="87"/>
      <c r="D593" s="56"/>
      <c r="E593" s="57"/>
      <c r="H593" s="57"/>
      <c r="I593" s="57"/>
    </row>
    <row r="594">
      <c r="A594" s="55"/>
      <c r="C594" s="87"/>
      <c r="D594" s="56"/>
      <c r="E594" s="57"/>
      <c r="H594" s="57"/>
      <c r="I594" s="57"/>
    </row>
    <row r="595">
      <c r="A595" s="55"/>
      <c r="C595" s="87"/>
      <c r="D595" s="56"/>
      <c r="E595" s="57"/>
      <c r="H595" s="57"/>
      <c r="I595" s="57"/>
    </row>
    <row r="596">
      <c r="A596" s="55"/>
      <c r="C596" s="87"/>
      <c r="D596" s="56"/>
      <c r="E596" s="57"/>
      <c r="H596" s="57"/>
      <c r="I596" s="57"/>
    </row>
    <row r="597">
      <c r="A597" s="55"/>
      <c r="C597" s="87"/>
      <c r="D597" s="56"/>
      <c r="E597" s="57"/>
      <c r="H597" s="57"/>
      <c r="I597" s="57"/>
    </row>
    <row r="598">
      <c r="A598" s="55"/>
      <c r="C598" s="87"/>
      <c r="D598" s="56"/>
      <c r="E598" s="57"/>
      <c r="H598" s="57"/>
      <c r="I598" s="57"/>
    </row>
    <row r="599">
      <c r="A599" s="55"/>
      <c r="C599" s="87"/>
      <c r="D599" s="56"/>
      <c r="E599" s="57"/>
      <c r="H599" s="57"/>
      <c r="I599" s="57"/>
    </row>
    <row r="600">
      <c r="A600" s="55"/>
      <c r="C600" s="87"/>
      <c r="D600" s="56"/>
      <c r="E600" s="57"/>
      <c r="H600" s="57"/>
      <c r="I600" s="57"/>
    </row>
    <row r="601">
      <c r="A601" s="55"/>
      <c r="C601" s="87"/>
      <c r="D601" s="56"/>
      <c r="E601" s="57"/>
      <c r="H601" s="57"/>
      <c r="I601" s="57"/>
    </row>
    <row r="602">
      <c r="A602" s="55"/>
      <c r="C602" s="87"/>
      <c r="D602" s="56"/>
      <c r="E602" s="57"/>
      <c r="H602" s="57"/>
      <c r="I602" s="57"/>
    </row>
    <row r="603">
      <c r="A603" s="55"/>
      <c r="C603" s="87"/>
      <c r="D603" s="56"/>
      <c r="E603" s="57"/>
      <c r="H603" s="57"/>
      <c r="I603" s="57"/>
    </row>
    <row r="604">
      <c r="A604" s="55"/>
      <c r="C604" s="87"/>
      <c r="D604" s="56"/>
      <c r="E604" s="57"/>
      <c r="H604" s="57"/>
      <c r="I604" s="57"/>
    </row>
    <row r="605">
      <c r="A605" s="55"/>
      <c r="C605" s="87"/>
      <c r="D605" s="56"/>
      <c r="E605" s="57"/>
      <c r="H605" s="57"/>
      <c r="I605" s="57"/>
    </row>
    <row r="606">
      <c r="A606" s="55"/>
      <c r="C606" s="87"/>
      <c r="D606" s="56"/>
      <c r="E606" s="57"/>
      <c r="H606" s="57"/>
      <c r="I606" s="57"/>
    </row>
    <row r="607">
      <c r="A607" s="55"/>
      <c r="C607" s="87"/>
      <c r="D607" s="56"/>
      <c r="E607" s="57"/>
      <c r="H607" s="57"/>
      <c r="I607" s="57"/>
    </row>
    <row r="608">
      <c r="A608" s="55"/>
      <c r="C608" s="87"/>
      <c r="D608" s="56"/>
      <c r="E608" s="57"/>
      <c r="H608" s="57"/>
      <c r="I608" s="57"/>
    </row>
    <row r="609">
      <c r="A609" s="55"/>
      <c r="C609" s="87"/>
      <c r="D609" s="56"/>
      <c r="E609" s="57"/>
      <c r="H609" s="57"/>
      <c r="I609" s="57"/>
    </row>
    <row r="610">
      <c r="A610" s="55"/>
      <c r="C610" s="87"/>
      <c r="D610" s="56"/>
      <c r="E610" s="57"/>
      <c r="H610" s="57"/>
      <c r="I610" s="57"/>
    </row>
    <row r="611">
      <c r="A611" s="55"/>
      <c r="C611" s="87"/>
      <c r="D611" s="56"/>
      <c r="E611" s="57"/>
      <c r="H611" s="57"/>
      <c r="I611" s="57"/>
    </row>
    <row r="612">
      <c r="A612" s="55"/>
      <c r="C612" s="87"/>
      <c r="D612" s="56"/>
      <c r="E612" s="57"/>
      <c r="H612" s="57"/>
      <c r="I612" s="57"/>
    </row>
    <row r="613">
      <c r="A613" s="55"/>
      <c r="C613" s="87"/>
      <c r="D613" s="56"/>
      <c r="E613" s="57"/>
      <c r="H613" s="57"/>
      <c r="I613" s="57"/>
    </row>
    <row r="614">
      <c r="A614" s="55"/>
      <c r="C614" s="87"/>
      <c r="D614" s="56"/>
      <c r="E614" s="57"/>
      <c r="H614" s="57"/>
      <c r="I614" s="57"/>
    </row>
    <row r="615">
      <c r="A615" s="55"/>
      <c r="C615" s="87"/>
      <c r="D615" s="56"/>
      <c r="E615" s="57"/>
      <c r="H615" s="57"/>
      <c r="I615" s="57"/>
    </row>
    <row r="616">
      <c r="A616" s="55"/>
      <c r="C616" s="87"/>
      <c r="D616" s="56"/>
      <c r="E616" s="57"/>
      <c r="H616" s="57"/>
      <c r="I616" s="57"/>
    </row>
    <row r="617">
      <c r="A617" s="55"/>
      <c r="C617" s="87"/>
      <c r="D617" s="56"/>
      <c r="E617" s="57"/>
      <c r="H617" s="57"/>
      <c r="I617" s="57"/>
    </row>
    <row r="618">
      <c r="A618" s="55"/>
      <c r="C618" s="87"/>
      <c r="D618" s="56"/>
      <c r="E618" s="57"/>
      <c r="H618" s="57"/>
      <c r="I618" s="57"/>
    </row>
    <row r="619">
      <c r="A619" s="55"/>
      <c r="C619" s="87"/>
      <c r="D619" s="56"/>
      <c r="E619" s="57"/>
      <c r="H619" s="57"/>
      <c r="I619" s="57"/>
    </row>
    <row r="620">
      <c r="A620" s="55"/>
      <c r="C620" s="87"/>
      <c r="D620" s="56"/>
      <c r="E620" s="57"/>
      <c r="H620" s="57"/>
      <c r="I620" s="57"/>
    </row>
    <row r="621">
      <c r="A621" s="55"/>
      <c r="C621" s="87"/>
      <c r="D621" s="56"/>
      <c r="E621" s="57"/>
      <c r="H621" s="57"/>
      <c r="I621" s="57"/>
    </row>
    <row r="622">
      <c r="A622" s="55"/>
      <c r="C622" s="87"/>
      <c r="D622" s="56"/>
      <c r="E622" s="57"/>
      <c r="H622" s="57"/>
      <c r="I622" s="57"/>
    </row>
    <row r="623">
      <c r="A623" s="55"/>
      <c r="C623" s="87"/>
      <c r="D623" s="56"/>
      <c r="E623" s="57"/>
      <c r="H623" s="57"/>
      <c r="I623" s="57"/>
    </row>
    <row r="624">
      <c r="A624" s="55"/>
      <c r="C624" s="87"/>
      <c r="D624" s="56"/>
      <c r="E624" s="57"/>
      <c r="H624" s="57"/>
      <c r="I624" s="57"/>
    </row>
    <row r="625">
      <c r="A625" s="55"/>
      <c r="C625" s="87"/>
      <c r="D625" s="56"/>
      <c r="E625" s="57"/>
      <c r="H625" s="57"/>
      <c r="I625" s="57"/>
    </row>
    <row r="626">
      <c r="A626" s="55"/>
      <c r="C626" s="87"/>
      <c r="D626" s="56"/>
      <c r="E626" s="57"/>
      <c r="H626" s="57"/>
      <c r="I626" s="57"/>
    </row>
    <row r="627">
      <c r="A627" s="55"/>
      <c r="C627" s="87"/>
      <c r="D627" s="56"/>
      <c r="E627" s="57"/>
      <c r="H627" s="57"/>
      <c r="I627" s="57"/>
    </row>
    <row r="628">
      <c r="A628" s="55"/>
      <c r="C628" s="87"/>
      <c r="D628" s="56"/>
      <c r="E628" s="57"/>
      <c r="H628" s="57"/>
      <c r="I628" s="57"/>
    </row>
    <row r="629">
      <c r="A629" s="55"/>
      <c r="C629" s="87"/>
      <c r="D629" s="56"/>
      <c r="E629" s="57"/>
      <c r="H629" s="57"/>
      <c r="I629" s="57"/>
    </row>
    <row r="630">
      <c r="A630" s="55"/>
      <c r="C630" s="87"/>
      <c r="D630" s="56"/>
      <c r="E630" s="57"/>
      <c r="H630" s="57"/>
      <c r="I630" s="57"/>
    </row>
    <row r="631">
      <c r="A631" s="55"/>
      <c r="C631" s="87"/>
      <c r="D631" s="56"/>
      <c r="E631" s="57"/>
      <c r="H631" s="57"/>
      <c r="I631" s="57"/>
    </row>
    <row r="632">
      <c r="A632" s="55"/>
      <c r="C632" s="87"/>
      <c r="D632" s="56"/>
      <c r="E632" s="57"/>
      <c r="H632" s="57"/>
      <c r="I632" s="57"/>
    </row>
    <row r="633">
      <c r="A633" s="55"/>
      <c r="C633" s="87"/>
      <c r="D633" s="56"/>
      <c r="E633" s="57"/>
      <c r="H633" s="57"/>
      <c r="I633" s="57"/>
    </row>
    <row r="634">
      <c r="A634" s="55"/>
      <c r="C634" s="87"/>
      <c r="D634" s="56"/>
      <c r="E634" s="57"/>
      <c r="H634" s="57"/>
      <c r="I634" s="57"/>
    </row>
    <row r="635">
      <c r="A635" s="55"/>
      <c r="C635" s="87"/>
      <c r="D635" s="56"/>
      <c r="E635" s="57"/>
      <c r="H635" s="57"/>
      <c r="I635" s="57"/>
    </row>
    <row r="636">
      <c r="A636" s="55"/>
      <c r="C636" s="87"/>
      <c r="D636" s="56"/>
      <c r="E636" s="57"/>
      <c r="H636" s="57"/>
      <c r="I636" s="57"/>
    </row>
    <row r="637">
      <c r="A637" s="55"/>
      <c r="C637" s="87"/>
      <c r="D637" s="56"/>
      <c r="E637" s="57"/>
      <c r="H637" s="57"/>
      <c r="I637" s="57"/>
    </row>
    <row r="638">
      <c r="A638" s="55"/>
      <c r="C638" s="87"/>
      <c r="D638" s="56"/>
      <c r="E638" s="57"/>
      <c r="H638" s="57"/>
      <c r="I638" s="57"/>
    </row>
    <row r="639">
      <c r="A639" s="55"/>
      <c r="C639" s="87"/>
      <c r="D639" s="56"/>
      <c r="E639" s="57"/>
      <c r="H639" s="57"/>
      <c r="I639" s="57"/>
    </row>
    <row r="640">
      <c r="A640" s="55"/>
      <c r="C640" s="87"/>
      <c r="D640" s="56"/>
      <c r="E640" s="57"/>
      <c r="H640" s="57"/>
      <c r="I640" s="57"/>
    </row>
    <row r="641">
      <c r="A641" s="55"/>
      <c r="C641" s="87"/>
      <c r="D641" s="56"/>
      <c r="E641" s="57"/>
      <c r="H641" s="57"/>
      <c r="I641" s="57"/>
    </row>
    <row r="642">
      <c r="A642" s="55"/>
      <c r="C642" s="87"/>
      <c r="D642" s="56"/>
      <c r="E642" s="57"/>
      <c r="H642" s="57"/>
      <c r="I642" s="57"/>
    </row>
    <row r="643">
      <c r="A643" s="55"/>
      <c r="C643" s="87"/>
      <c r="D643" s="56"/>
      <c r="E643" s="57"/>
      <c r="H643" s="57"/>
      <c r="I643" s="57"/>
    </row>
    <row r="644">
      <c r="A644" s="55"/>
      <c r="C644" s="87"/>
      <c r="D644" s="56"/>
      <c r="E644" s="57"/>
      <c r="H644" s="57"/>
      <c r="I644" s="57"/>
    </row>
    <row r="645">
      <c r="A645" s="55"/>
      <c r="C645" s="87"/>
      <c r="D645" s="56"/>
      <c r="E645" s="57"/>
      <c r="H645" s="57"/>
      <c r="I645" s="57"/>
    </row>
    <row r="646">
      <c r="A646" s="55"/>
      <c r="C646" s="87"/>
      <c r="D646" s="56"/>
      <c r="E646" s="57"/>
      <c r="H646" s="57"/>
      <c r="I646" s="57"/>
    </row>
    <row r="647">
      <c r="A647" s="55"/>
      <c r="C647" s="87"/>
      <c r="D647" s="56"/>
      <c r="E647" s="57"/>
      <c r="H647" s="57"/>
      <c r="I647" s="57"/>
    </row>
    <row r="648">
      <c r="A648" s="55"/>
      <c r="C648" s="87"/>
      <c r="D648" s="56"/>
      <c r="E648" s="57"/>
      <c r="H648" s="57"/>
      <c r="I648" s="57"/>
    </row>
    <row r="649">
      <c r="A649" s="55"/>
      <c r="C649" s="87"/>
      <c r="D649" s="56"/>
      <c r="E649" s="57"/>
      <c r="H649" s="57"/>
      <c r="I649" s="57"/>
    </row>
    <row r="650">
      <c r="A650" s="55"/>
      <c r="C650" s="87"/>
      <c r="D650" s="56"/>
      <c r="E650" s="57"/>
      <c r="H650" s="57"/>
      <c r="I650" s="57"/>
    </row>
    <row r="651">
      <c r="A651" s="55"/>
      <c r="C651" s="87"/>
      <c r="D651" s="56"/>
      <c r="E651" s="57"/>
      <c r="H651" s="57"/>
      <c r="I651" s="57"/>
    </row>
    <row r="652">
      <c r="A652" s="55"/>
      <c r="C652" s="87"/>
      <c r="D652" s="56"/>
      <c r="E652" s="57"/>
      <c r="H652" s="57"/>
      <c r="I652" s="57"/>
    </row>
    <row r="653">
      <c r="A653" s="55"/>
      <c r="C653" s="87"/>
      <c r="D653" s="56"/>
      <c r="E653" s="57"/>
      <c r="H653" s="57"/>
      <c r="I653" s="57"/>
    </row>
    <row r="654">
      <c r="A654" s="55"/>
      <c r="C654" s="87"/>
      <c r="D654" s="56"/>
      <c r="E654" s="57"/>
      <c r="H654" s="57"/>
      <c r="I654" s="57"/>
    </row>
    <row r="655">
      <c r="A655" s="55"/>
      <c r="C655" s="87"/>
      <c r="D655" s="56"/>
      <c r="E655" s="57"/>
      <c r="H655" s="57"/>
      <c r="I655" s="57"/>
    </row>
    <row r="656">
      <c r="A656" s="55"/>
      <c r="C656" s="87"/>
      <c r="D656" s="56"/>
      <c r="E656" s="57"/>
      <c r="H656" s="57"/>
      <c r="I656" s="57"/>
    </row>
    <row r="657">
      <c r="A657" s="55"/>
      <c r="C657" s="87"/>
      <c r="D657" s="56"/>
      <c r="E657" s="57"/>
      <c r="H657" s="57"/>
      <c r="I657" s="57"/>
    </row>
    <row r="658">
      <c r="A658" s="55"/>
      <c r="C658" s="87"/>
      <c r="D658" s="56"/>
      <c r="E658" s="57"/>
      <c r="H658" s="57"/>
      <c r="I658" s="57"/>
    </row>
    <row r="659">
      <c r="A659" s="55"/>
      <c r="C659" s="87"/>
      <c r="D659" s="56"/>
      <c r="E659" s="57"/>
      <c r="H659" s="57"/>
      <c r="I659" s="57"/>
    </row>
    <row r="660">
      <c r="A660" s="55"/>
      <c r="C660" s="87"/>
      <c r="D660" s="56"/>
      <c r="E660" s="57"/>
      <c r="H660" s="57"/>
      <c r="I660" s="57"/>
    </row>
    <row r="661">
      <c r="A661" s="55"/>
      <c r="C661" s="87"/>
      <c r="D661" s="56"/>
      <c r="E661" s="57"/>
      <c r="H661" s="57"/>
      <c r="I661" s="57"/>
    </row>
    <row r="662">
      <c r="A662" s="55"/>
      <c r="C662" s="87"/>
      <c r="D662" s="56"/>
      <c r="E662" s="57"/>
      <c r="H662" s="57"/>
      <c r="I662" s="57"/>
    </row>
    <row r="663">
      <c r="A663" s="55"/>
      <c r="C663" s="87"/>
      <c r="D663" s="56"/>
      <c r="E663" s="57"/>
      <c r="H663" s="57"/>
      <c r="I663" s="57"/>
    </row>
    <row r="664">
      <c r="A664" s="55"/>
      <c r="C664" s="87"/>
      <c r="D664" s="56"/>
      <c r="E664" s="57"/>
      <c r="H664" s="57"/>
      <c r="I664" s="57"/>
    </row>
    <row r="665">
      <c r="A665" s="55"/>
      <c r="C665" s="87"/>
      <c r="D665" s="56"/>
      <c r="E665" s="57"/>
      <c r="H665" s="57"/>
      <c r="I665" s="57"/>
    </row>
    <row r="666">
      <c r="A666" s="55"/>
      <c r="C666" s="87"/>
      <c r="D666" s="56"/>
      <c r="E666" s="57"/>
      <c r="H666" s="57"/>
      <c r="I666" s="57"/>
    </row>
    <row r="667">
      <c r="A667" s="55"/>
      <c r="C667" s="87"/>
      <c r="D667" s="56"/>
      <c r="E667" s="57"/>
      <c r="H667" s="57"/>
      <c r="I667" s="57"/>
    </row>
    <row r="668">
      <c r="A668" s="55"/>
      <c r="C668" s="87"/>
      <c r="D668" s="56"/>
      <c r="E668" s="57"/>
      <c r="H668" s="57"/>
      <c r="I668" s="57"/>
    </row>
    <row r="669">
      <c r="A669" s="55"/>
      <c r="C669" s="87"/>
      <c r="D669" s="56"/>
      <c r="E669" s="57"/>
      <c r="H669" s="57"/>
      <c r="I669" s="57"/>
    </row>
    <row r="670">
      <c r="A670" s="55"/>
      <c r="C670" s="87"/>
      <c r="D670" s="56"/>
      <c r="E670" s="57"/>
      <c r="H670" s="57"/>
      <c r="I670" s="57"/>
    </row>
    <row r="671">
      <c r="A671" s="55"/>
      <c r="C671" s="87"/>
      <c r="D671" s="56"/>
      <c r="E671" s="57"/>
      <c r="H671" s="57"/>
      <c r="I671" s="57"/>
    </row>
    <row r="672">
      <c r="A672" s="55"/>
      <c r="C672" s="87"/>
      <c r="D672" s="56"/>
      <c r="E672" s="57"/>
      <c r="H672" s="57"/>
      <c r="I672" s="57"/>
    </row>
    <row r="673">
      <c r="A673" s="55"/>
      <c r="C673" s="87"/>
      <c r="D673" s="56"/>
      <c r="E673" s="57"/>
      <c r="H673" s="57"/>
      <c r="I673" s="57"/>
    </row>
    <row r="674">
      <c r="A674" s="55"/>
      <c r="C674" s="87"/>
      <c r="D674" s="56"/>
      <c r="E674" s="57"/>
      <c r="H674" s="57"/>
      <c r="I674" s="57"/>
    </row>
    <row r="675">
      <c r="A675" s="55"/>
      <c r="C675" s="87"/>
      <c r="D675" s="56"/>
      <c r="E675" s="57"/>
      <c r="H675" s="57"/>
      <c r="I675" s="57"/>
    </row>
    <row r="676">
      <c r="A676" s="55"/>
      <c r="C676" s="87"/>
      <c r="D676" s="56"/>
      <c r="E676" s="57"/>
      <c r="H676" s="57"/>
      <c r="I676" s="57"/>
    </row>
    <row r="677">
      <c r="A677" s="55"/>
      <c r="C677" s="87"/>
      <c r="D677" s="56"/>
      <c r="E677" s="57"/>
      <c r="H677" s="57"/>
      <c r="I677" s="57"/>
    </row>
    <row r="678">
      <c r="A678" s="55"/>
      <c r="C678" s="87"/>
      <c r="D678" s="56"/>
      <c r="E678" s="57"/>
      <c r="H678" s="57"/>
      <c r="I678" s="57"/>
    </row>
    <row r="679">
      <c r="A679" s="55"/>
      <c r="C679" s="87"/>
      <c r="D679" s="56"/>
      <c r="E679" s="57"/>
      <c r="H679" s="57"/>
      <c r="I679" s="57"/>
    </row>
    <row r="680">
      <c r="A680" s="55"/>
      <c r="C680" s="87"/>
      <c r="D680" s="56"/>
      <c r="E680" s="57"/>
      <c r="H680" s="57"/>
      <c r="I680" s="57"/>
    </row>
    <row r="681">
      <c r="A681" s="55"/>
      <c r="C681" s="87"/>
      <c r="D681" s="56"/>
      <c r="E681" s="57"/>
      <c r="H681" s="57"/>
      <c r="I681" s="57"/>
    </row>
    <row r="682">
      <c r="A682" s="55"/>
      <c r="C682" s="87"/>
      <c r="D682" s="56"/>
      <c r="E682" s="57"/>
      <c r="H682" s="57"/>
      <c r="I682" s="57"/>
    </row>
    <row r="683">
      <c r="A683" s="55"/>
      <c r="C683" s="87"/>
      <c r="D683" s="56"/>
      <c r="E683" s="57"/>
      <c r="H683" s="57"/>
      <c r="I683" s="57"/>
    </row>
    <row r="684">
      <c r="A684" s="55"/>
      <c r="C684" s="87"/>
      <c r="D684" s="56"/>
      <c r="E684" s="57"/>
      <c r="H684" s="57"/>
      <c r="I684" s="57"/>
    </row>
    <row r="685">
      <c r="A685" s="55"/>
      <c r="C685" s="87"/>
      <c r="D685" s="56"/>
      <c r="E685" s="57"/>
      <c r="H685" s="57"/>
      <c r="I685" s="57"/>
    </row>
    <row r="686">
      <c r="A686" s="55"/>
      <c r="C686" s="87"/>
      <c r="D686" s="56"/>
      <c r="E686" s="57"/>
      <c r="H686" s="57"/>
      <c r="I686" s="57"/>
    </row>
    <row r="687">
      <c r="A687" s="55"/>
      <c r="C687" s="87"/>
      <c r="D687" s="56"/>
      <c r="E687" s="57"/>
      <c r="H687" s="57"/>
      <c r="I687" s="57"/>
    </row>
    <row r="688">
      <c r="A688" s="55"/>
      <c r="C688" s="87"/>
      <c r="D688" s="56"/>
      <c r="E688" s="57"/>
      <c r="H688" s="57"/>
      <c r="I688" s="57"/>
    </row>
    <row r="689">
      <c r="A689" s="55"/>
      <c r="C689" s="87"/>
      <c r="D689" s="56"/>
      <c r="E689" s="57"/>
      <c r="H689" s="57"/>
      <c r="I689" s="57"/>
    </row>
    <row r="690">
      <c r="A690" s="55"/>
      <c r="C690" s="87"/>
      <c r="D690" s="56"/>
      <c r="E690" s="57"/>
      <c r="H690" s="57"/>
      <c r="I690" s="57"/>
    </row>
    <row r="691">
      <c r="A691" s="55"/>
      <c r="C691" s="87"/>
      <c r="D691" s="56"/>
      <c r="E691" s="57"/>
      <c r="H691" s="57"/>
      <c r="I691" s="57"/>
    </row>
    <row r="692">
      <c r="A692" s="55"/>
      <c r="C692" s="87"/>
      <c r="D692" s="56"/>
      <c r="E692" s="57"/>
      <c r="H692" s="57"/>
      <c r="I692" s="57"/>
    </row>
    <row r="693">
      <c r="A693" s="55"/>
      <c r="C693" s="87"/>
      <c r="D693" s="56"/>
      <c r="E693" s="57"/>
      <c r="H693" s="57"/>
      <c r="I693" s="57"/>
    </row>
    <row r="694">
      <c r="A694" s="55"/>
      <c r="C694" s="87"/>
      <c r="D694" s="56"/>
      <c r="E694" s="57"/>
      <c r="H694" s="57"/>
      <c r="I694" s="57"/>
    </row>
    <row r="695">
      <c r="A695" s="55"/>
      <c r="C695" s="87"/>
      <c r="D695" s="56"/>
      <c r="E695" s="57"/>
      <c r="H695" s="57"/>
      <c r="I695" s="57"/>
    </row>
    <row r="696">
      <c r="A696" s="55"/>
      <c r="C696" s="87"/>
      <c r="D696" s="56"/>
      <c r="E696" s="57"/>
      <c r="H696" s="57"/>
      <c r="I696" s="57"/>
    </row>
    <row r="697">
      <c r="A697" s="55"/>
      <c r="C697" s="87"/>
      <c r="D697" s="56"/>
      <c r="E697" s="57"/>
      <c r="H697" s="57"/>
      <c r="I697" s="57"/>
    </row>
    <row r="698">
      <c r="A698" s="55"/>
      <c r="C698" s="87"/>
      <c r="D698" s="56"/>
      <c r="E698" s="57"/>
      <c r="H698" s="57"/>
      <c r="I698" s="57"/>
    </row>
    <row r="699">
      <c r="A699" s="55"/>
      <c r="C699" s="87"/>
      <c r="D699" s="56"/>
      <c r="E699" s="57"/>
      <c r="H699" s="57"/>
      <c r="I699" s="57"/>
    </row>
    <row r="700">
      <c r="A700" s="55"/>
      <c r="C700" s="87"/>
      <c r="D700" s="56"/>
      <c r="E700" s="57"/>
      <c r="H700" s="57"/>
      <c r="I700" s="57"/>
    </row>
    <row r="701">
      <c r="A701" s="55"/>
      <c r="C701" s="87"/>
      <c r="D701" s="56"/>
      <c r="E701" s="57"/>
      <c r="H701" s="57"/>
      <c r="I701" s="57"/>
    </row>
    <row r="702">
      <c r="A702" s="55"/>
      <c r="C702" s="87"/>
      <c r="D702" s="56"/>
      <c r="E702" s="57"/>
      <c r="H702" s="57"/>
      <c r="I702" s="57"/>
    </row>
    <row r="703">
      <c r="A703" s="55"/>
      <c r="C703" s="87"/>
      <c r="D703" s="56"/>
      <c r="E703" s="57"/>
      <c r="H703" s="57"/>
      <c r="I703" s="57"/>
    </row>
    <row r="704">
      <c r="A704" s="55"/>
      <c r="C704" s="87"/>
      <c r="D704" s="56"/>
      <c r="E704" s="57"/>
      <c r="H704" s="57"/>
      <c r="I704" s="57"/>
    </row>
    <row r="705">
      <c r="A705" s="55"/>
      <c r="C705" s="87"/>
      <c r="D705" s="56"/>
      <c r="E705" s="57"/>
      <c r="H705" s="57"/>
      <c r="I705" s="57"/>
    </row>
    <row r="706">
      <c r="A706" s="55"/>
      <c r="C706" s="87"/>
      <c r="D706" s="56"/>
      <c r="E706" s="57"/>
      <c r="H706" s="57"/>
      <c r="I706" s="57"/>
    </row>
    <row r="707">
      <c r="A707" s="55"/>
      <c r="C707" s="87"/>
      <c r="D707" s="56"/>
      <c r="E707" s="57"/>
      <c r="H707" s="57"/>
      <c r="I707" s="57"/>
    </row>
    <row r="708">
      <c r="A708" s="55"/>
      <c r="C708" s="87"/>
      <c r="D708" s="56"/>
      <c r="E708" s="57"/>
      <c r="H708" s="57"/>
      <c r="I708" s="57"/>
    </row>
    <row r="709">
      <c r="A709" s="55"/>
      <c r="C709" s="87"/>
      <c r="D709" s="56"/>
      <c r="E709" s="57"/>
      <c r="H709" s="57"/>
      <c r="I709" s="57"/>
    </row>
    <row r="710">
      <c r="A710" s="55"/>
      <c r="C710" s="87"/>
      <c r="D710" s="56"/>
      <c r="E710" s="57"/>
      <c r="H710" s="57"/>
      <c r="I710" s="57"/>
    </row>
    <row r="711">
      <c r="A711" s="55"/>
      <c r="C711" s="87"/>
      <c r="D711" s="56"/>
      <c r="E711" s="57"/>
      <c r="H711" s="57"/>
      <c r="I711" s="57"/>
    </row>
    <row r="712">
      <c r="A712" s="55"/>
      <c r="C712" s="87"/>
      <c r="D712" s="56"/>
      <c r="E712" s="57"/>
      <c r="H712" s="57"/>
      <c r="I712" s="57"/>
    </row>
    <row r="713">
      <c r="A713" s="55"/>
      <c r="C713" s="87"/>
      <c r="D713" s="56"/>
      <c r="E713" s="57"/>
      <c r="H713" s="57"/>
      <c r="I713" s="57"/>
    </row>
    <row r="714">
      <c r="A714" s="55"/>
      <c r="C714" s="87"/>
      <c r="D714" s="56"/>
      <c r="E714" s="57"/>
      <c r="H714" s="57"/>
      <c r="I714" s="57"/>
    </row>
    <row r="715">
      <c r="A715" s="55"/>
      <c r="C715" s="87"/>
      <c r="D715" s="56"/>
      <c r="E715" s="57"/>
      <c r="H715" s="57"/>
      <c r="I715" s="57"/>
    </row>
    <row r="716">
      <c r="A716" s="55"/>
      <c r="C716" s="87"/>
      <c r="D716" s="56"/>
      <c r="E716" s="57"/>
      <c r="H716" s="57"/>
      <c r="I716" s="57"/>
    </row>
    <row r="717">
      <c r="A717" s="55"/>
      <c r="C717" s="87"/>
      <c r="D717" s="56"/>
      <c r="E717" s="57"/>
      <c r="H717" s="57"/>
      <c r="I717" s="57"/>
    </row>
    <row r="718">
      <c r="A718" s="55"/>
      <c r="C718" s="87"/>
      <c r="D718" s="56"/>
      <c r="E718" s="57"/>
      <c r="H718" s="57"/>
      <c r="I718" s="57"/>
    </row>
    <row r="719">
      <c r="A719" s="55"/>
      <c r="C719" s="87"/>
      <c r="D719" s="56"/>
      <c r="E719" s="57"/>
      <c r="H719" s="57"/>
      <c r="I719" s="57"/>
    </row>
    <row r="720">
      <c r="A720" s="55"/>
      <c r="C720" s="87"/>
      <c r="D720" s="56"/>
      <c r="E720" s="57"/>
      <c r="H720" s="57"/>
      <c r="I720" s="57"/>
    </row>
    <row r="721">
      <c r="A721" s="55"/>
      <c r="C721" s="87"/>
      <c r="D721" s="56"/>
      <c r="E721" s="57"/>
      <c r="H721" s="57"/>
      <c r="I721" s="57"/>
    </row>
    <row r="722">
      <c r="A722" s="55"/>
      <c r="C722" s="87"/>
      <c r="D722" s="56"/>
      <c r="E722" s="57"/>
      <c r="H722" s="57"/>
      <c r="I722" s="57"/>
    </row>
    <row r="723">
      <c r="A723" s="55"/>
      <c r="C723" s="87"/>
      <c r="D723" s="56"/>
      <c r="E723" s="57"/>
      <c r="H723" s="57"/>
      <c r="I723" s="57"/>
    </row>
    <row r="724">
      <c r="A724" s="55"/>
      <c r="C724" s="87"/>
      <c r="D724" s="56"/>
      <c r="E724" s="57"/>
      <c r="H724" s="57"/>
      <c r="I724" s="57"/>
    </row>
    <row r="725">
      <c r="A725" s="55"/>
      <c r="C725" s="87"/>
      <c r="D725" s="56"/>
      <c r="E725" s="57"/>
      <c r="H725" s="57"/>
      <c r="I725" s="57"/>
    </row>
    <row r="726">
      <c r="A726" s="55"/>
      <c r="C726" s="87"/>
      <c r="D726" s="56"/>
      <c r="E726" s="57"/>
      <c r="H726" s="57"/>
      <c r="I726" s="57"/>
    </row>
    <row r="727">
      <c r="A727" s="55"/>
      <c r="C727" s="87"/>
      <c r="D727" s="56"/>
      <c r="E727" s="57"/>
      <c r="H727" s="57"/>
      <c r="I727" s="57"/>
    </row>
    <row r="728">
      <c r="A728" s="55"/>
      <c r="C728" s="87"/>
      <c r="D728" s="56"/>
      <c r="E728" s="57"/>
      <c r="H728" s="57"/>
      <c r="I728" s="57"/>
    </row>
    <row r="729">
      <c r="A729" s="55"/>
      <c r="C729" s="87"/>
      <c r="D729" s="56"/>
      <c r="E729" s="57"/>
      <c r="H729" s="57"/>
      <c r="I729" s="57"/>
    </row>
    <row r="730">
      <c r="A730" s="55"/>
      <c r="C730" s="87"/>
      <c r="D730" s="56"/>
      <c r="E730" s="57"/>
      <c r="H730" s="57"/>
      <c r="I730" s="57"/>
    </row>
    <row r="731">
      <c r="A731" s="55"/>
      <c r="C731" s="87"/>
      <c r="D731" s="56"/>
      <c r="E731" s="57"/>
      <c r="H731" s="57"/>
      <c r="I731" s="57"/>
    </row>
    <row r="732">
      <c r="A732" s="55"/>
      <c r="C732" s="87"/>
      <c r="D732" s="56"/>
      <c r="E732" s="57"/>
      <c r="H732" s="57"/>
      <c r="I732" s="57"/>
    </row>
    <row r="733">
      <c r="A733" s="55"/>
      <c r="C733" s="87"/>
      <c r="D733" s="56"/>
      <c r="E733" s="57"/>
      <c r="H733" s="57"/>
      <c r="I733" s="57"/>
    </row>
    <row r="734">
      <c r="A734" s="55"/>
      <c r="C734" s="87"/>
      <c r="D734" s="56"/>
      <c r="E734" s="57"/>
      <c r="H734" s="57"/>
      <c r="I734" s="57"/>
    </row>
    <row r="735">
      <c r="A735" s="55"/>
      <c r="C735" s="87"/>
      <c r="D735" s="56"/>
      <c r="E735" s="57"/>
      <c r="H735" s="57"/>
      <c r="I735" s="57"/>
    </row>
    <row r="736">
      <c r="A736" s="55"/>
      <c r="C736" s="87"/>
      <c r="D736" s="56"/>
      <c r="E736" s="57"/>
      <c r="H736" s="57"/>
      <c r="I736" s="57"/>
    </row>
    <row r="737">
      <c r="A737" s="55"/>
      <c r="C737" s="87"/>
      <c r="D737" s="56"/>
      <c r="E737" s="57"/>
      <c r="H737" s="57"/>
      <c r="I737" s="57"/>
    </row>
    <row r="738">
      <c r="A738" s="55"/>
      <c r="C738" s="87"/>
      <c r="D738" s="56"/>
      <c r="E738" s="57"/>
      <c r="H738" s="57"/>
      <c r="I738" s="57"/>
    </row>
    <row r="739">
      <c r="A739" s="55"/>
      <c r="C739" s="87"/>
      <c r="D739" s="56"/>
      <c r="E739" s="57"/>
      <c r="H739" s="57"/>
      <c r="I739" s="57"/>
    </row>
    <row r="740">
      <c r="A740" s="55"/>
      <c r="C740" s="87"/>
      <c r="D740" s="56"/>
      <c r="E740" s="57"/>
      <c r="H740" s="57"/>
      <c r="I740" s="57"/>
    </row>
    <row r="741">
      <c r="A741" s="55"/>
      <c r="C741" s="87"/>
      <c r="D741" s="56"/>
      <c r="E741" s="57"/>
      <c r="H741" s="57"/>
      <c r="I741" s="57"/>
    </row>
    <row r="742">
      <c r="A742" s="55"/>
      <c r="C742" s="87"/>
      <c r="D742" s="56"/>
      <c r="E742" s="57"/>
      <c r="H742" s="57"/>
      <c r="I742" s="57"/>
    </row>
    <row r="743">
      <c r="A743" s="55"/>
      <c r="C743" s="87"/>
      <c r="D743" s="56"/>
      <c r="E743" s="57"/>
      <c r="H743" s="57"/>
      <c r="I743" s="57"/>
    </row>
    <row r="744">
      <c r="A744" s="55"/>
      <c r="C744" s="87"/>
      <c r="D744" s="56"/>
      <c r="E744" s="57"/>
      <c r="H744" s="57"/>
      <c r="I744" s="57"/>
    </row>
    <row r="745">
      <c r="A745" s="55"/>
      <c r="C745" s="87"/>
      <c r="D745" s="56"/>
      <c r="E745" s="57"/>
      <c r="H745" s="57"/>
      <c r="I745" s="57"/>
    </row>
    <row r="746">
      <c r="A746" s="55"/>
      <c r="C746" s="87"/>
      <c r="D746" s="56"/>
      <c r="E746" s="57"/>
      <c r="H746" s="57"/>
      <c r="I746" s="57"/>
    </row>
    <row r="747">
      <c r="A747" s="55"/>
      <c r="C747" s="87"/>
      <c r="D747" s="56"/>
      <c r="E747" s="57"/>
      <c r="H747" s="57"/>
      <c r="I747" s="57"/>
    </row>
    <row r="748">
      <c r="A748" s="55"/>
      <c r="C748" s="87"/>
      <c r="D748" s="56"/>
      <c r="E748" s="57"/>
      <c r="H748" s="57"/>
      <c r="I748" s="57"/>
    </row>
    <row r="749">
      <c r="A749" s="55"/>
      <c r="C749" s="87"/>
      <c r="D749" s="56"/>
      <c r="E749" s="57"/>
      <c r="H749" s="57"/>
      <c r="I749" s="57"/>
    </row>
    <row r="750">
      <c r="A750" s="55"/>
      <c r="C750" s="87"/>
      <c r="D750" s="56"/>
      <c r="E750" s="57"/>
      <c r="H750" s="57"/>
      <c r="I750" s="57"/>
    </row>
    <row r="751">
      <c r="A751" s="55"/>
      <c r="C751" s="87"/>
      <c r="D751" s="56"/>
      <c r="E751" s="57"/>
      <c r="H751" s="57"/>
      <c r="I751" s="57"/>
    </row>
    <row r="752">
      <c r="A752" s="55"/>
      <c r="C752" s="87"/>
      <c r="D752" s="56"/>
      <c r="E752" s="57"/>
      <c r="H752" s="57"/>
      <c r="I752" s="57"/>
    </row>
    <row r="753">
      <c r="A753" s="55"/>
      <c r="C753" s="87"/>
      <c r="D753" s="56"/>
      <c r="E753" s="57"/>
      <c r="H753" s="57"/>
      <c r="I753" s="57"/>
    </row>
    <row r="754">
      <c r="A754" s="55"/>
      <c r="C754" s="87"/>
      <c r="D754" s="56"/>
      <c r="E754" s="57"/>
      <c r="H754" s="57"/>
      <c r="I754" s="57"/>
    </row>
    <row r="755">
      <c r="A755" s="55"/>
      <c r="C755" s="87"/>
      <c r="D755" s="56"/>
      <c r="E755" s="57"/>
      <c r="H755" s="57"/>
      <c r="I755" s="57"/>
    </row>
    <row r="756">
      <c r="A756" s="55"/>
      <c r="C756" s="87"/>
      <c r="D756" s="56"/>
      <c r="E756" s="57"/>
      <c r="H756" s="57"/>
      <c r="I756" s="57"/>
    </row>
    <row r="757">
      <c r="A757" s="55"/>
      <c r="C757" s="87"/>
      <c r="D757" s="56"/>
      <c r="E757" s="57"/>
      <c r="H757" s="57"/>
      <c r="I757" s="57"/>
    </row>
    <row r="758">
      <c r="A758" s="55"/>
      <c r="C758" s="87"/>
      <c r="D758" s="56"/>
      <c r="E758" s="57"/>
      <c r="H758" s="57"/>
      <c r="I758" s="57"/>
    </row>
    <row r="759">
      <c r="A759" s="55"/>
      <c r="C759" s="87"/>
      <c r="D759" s="56"/>
      <c r="E759" s="57"/>
      <c r="H759" s="57"/>
      <c r="I759" s="57"/>
    </row>
    <row r="760">
      <c r="A760" s="55"/>
      <c r="C760" s="87"/>
      <c r="D760" s="56"/>
      <c r="E760" s="57"/>
      <c r="H760" s="57"/>
      <c r="I760" s="57"/>
    </row>
    <row r="761">
      <c r="A761" s="55"/>
      <c r="C761" s="87"/>
      <c r="D761" s="56"/>
      <c r="E761" s="57"/>
      <c r="H761" s="57"/>
      <c r="I761" s="57"/>
    </row>
    <row r="762">
      <c r="A762" s="55"/>
      <c r="C762" s="87"/>
      <c r="D762" s="56"/>
      <c r="E762" s="57"/>
      <c r="H762" s="57"/>
      <c r="I762" s="57"/>
    </row>
    <row r="763">
      <c r="A763" s="55"/>
      <c r="C763" s="87"/>
      <c r="D763" s="56"/>
      <c r="E763" s="57"/>
      <c r="H763" s="57"/>
      <c r="I763" s="57"/>
    </row>
    <row r="764">
      <c r="A764" s="55"/>
      <c r="C764" s="87"/>
      <c r="D764" s="56"/>
      <c r="E764" s="57"/>
      <c r="H764" s="57"/>
      <c r="I764" s="57"/>
    </row>
    <row r="765">
      <c r="A765" s="55"/>
      <c r="C765" s="87"/>
      <c r="D765" s="56"/>
      <c r="E765" s="57"/>
      <c r="H765" s="57"/>
      <c r="I765" s="57"/>
    </row>
    <row r="766">
      <c r="A766" s="55"/>
      <c r="C766" s="87"/>
      <c r="D766" s="56"/>
      <c r="E766" s="57"/>
      <c r="H766" s="57"/>
      <c r="I766" s="57"/>
    </row>
    <row r="767">
      <c r="A767" s="55"/>
      <c r="C767" s="87"/>
      <c r="D767" s="56"/>
      <c r="E767" s="57"/>
      <c r="H767" s="57"/>
      <c r="I767" s="57"/>
    </row>
    <row r="768">
      <c r="A768" s="55"/>
      <c r="C768" s="87"/>
      <c r="D768" s="56"/>
      <c r="E768" s="57"/>
      <c r="H768" s="57"/>
      <c r="I768" s="57"/>
    </row>
    <row r="769">
      <c r="A769" s="55"/>
      <c r="C769" s="87"/>
      <c r="D769" s="56"/>
      <c r="E769" s="57"/>
      <c r="H769" s="57"/>
      <c r="I769" s="57"/>
    </row>
    <row r="770">
      <c r="A770" s="55"/>
      <c r="C770" s="87"/>
      <c r="D770" s="56"/>
      <c r="E770" s="57"/>
      <c r="H770" s="57"/>
      <c r="I770" s="57"/>
    </row>
    <row r="771">
      <c r="A771" s="55"/>
      <c r="C771" s="87"/>
      <c r="D771" s="56"/>
      <c r="E771" s="57"/>
      <c r="H771" s="57"/>
      <c r="I771" s="57"/>
    </row>
    <row r="772">
      <c r="A772" s="55"/>
      <c r="C772" s="87"/>
      <c r="D772" s="56"/>
      <c r="E772" s="57"/>
      <c r="H772" s="57"/>
      <c r="I772" s="57"/>
    </row>
    <row r="773">
      <c r="A773" s="55"/>
      <c r="C773" s="87"/>
      <c r="D773" s="56"/>
      <c r="E773" s="57"/>
      <c r="H773" s="57"/>
      <c r="I773" s="57"/>
    </row>
    <row r="774">
      <c r="A774" s="55"/>
      <c r="C774" s="87"/>
      <c r="D774" s="56"/>
      <c r="E774" s="57"/>
      <c r="H774" s="57"/>
      <c r="I774" s="57"/>
    </row>
    <row r="775">
      <c r="A775" s="55"/>
      <c r="C775" s="87"/>
      <c r="D775" s="56"/>
      <c r="E775" s="57"/>
      <c r="H775" s="57"/>
      <c r="I775" s="57"/>
    </row>
    <row r="776">
      <c r="A776" s="55"/>
      <c r="C776" s="87"/>
      <c r="D776" s="56"/>
      <c r="E776" s="57"/>
      <c r="H776" s="57"/>
      <c r="I776" s="57"/>
    </row>
    <row r="777">
      <c r="A777" s="55"/>
      <c r="C777" s="87"/>
      <c r="D777" s="56"/>
      <c r="E777" s="57"/>
      <c r="H777" s="57"/>
      <c r="I777" s="57"/>
    </row>
    <row r="778">
      <c r="A778" s="55"/>
      <c r="C778" s="87"/>
      <c r="D778" s="56"/>
      <c r="E778" s="57"/>
      <c r="H778" s="57"/>
      <c r="I778" s="57"/>
    </row>
    <row r="779">
      <c r="A779" s="55"/>
      <c r="C779" s="87"/>
      <c r="D779" s="56"/>
      <c r="E779" s="57"/>
      <c r="H779" s="57"/>
      <c r="I779" s="57"/>
    </row>
    <row r="780">
      <c r="A780" s="55"/>
      <c r="C780" s="87"/>
      <c r="D780" s="56"/>
      <c r="E780" s="57"/>
      <c r="H780" s="57"/>
      <c r="I780" s="57"/>
    </row>
    <row r="781">
      <c r="A781" s="55"/>
      <c r="C781" s="87"/>
      <c r="D781" s="56"/>
      <c r="E781" s="57"/>
      <c r="H781" s="57"/>
      <c r="I781" s="57"/>
    </row>
    <row r="782">
      <c r="A782" s="55"/>
      <c r="C782" s="87"/>
      <c r="D782" s="56"/>
      <c r="E782" s="57"/>
      <c r="H782" s="57"/>
      <c r="I782" s="57"/>
    </row>
    <row r="783">
      <c r="A783" s="55"/>
      <c r="C783" s="87"/>
      <c r="D783" s="56"/>
      <c r="E783" s="57"/>
      <c r="H783" s="57"/>
      <c r="I783" s="57"/>
    </row>
    <row r="784">
      <c r="A784" s="55"/>
      <c r="C784" s="87"/>
      <c r="D784" s="56"/>
      <c r="E784" s="57"/>
      <c r="H784" s="57"/>
      <c r="I784" s="57"/>
    </row>
    <row r="785">
      <c r="A785" s="55"/>
      <c r="C785" s="87"/>
      <c r="D785" s="56"/>
      <c r="E785" s="57"/>
      <c r="H785" s="57"/>
      <c r="I785" s="57"/>
    </row>
    <row r="786">
      <c r="A786" s="55"/>
      <c r="C786" s="87"/>
      <c r="D786" s="56"/>
      <c r="E786" s="57"/>
      <c r="H786" s="57"/>
      <c r="I786" s="57"/>
    </row>
    <row r="787">
      <c r="A787" s="55"/>
      <c r="C787" s="87"/>
      <c r="D787" s="56"/>
      <c r="E787" s="57"/>
      <c r="H787" s="57"/>
      <c r="I787" s="57"/>
    </row>
    <row r="788">
      <c r="A788" s="55"/>
      <c r="C788" s="87"/>
      <c r="D788" s="56"/>
      <c r="E788" s="57"/>
      <c r="H788" s="57"/>
      <c r="I788" s="57"/>
    </row>
    <row r="789">
      <c r="A789" s="55"/>
      <c r="C789" s="87"/>
      <c r="D789" s="56"/>
      <c r="E789" s="57"/>
      <c r="H789" s="57"/>
      <c r="I789" s="57"/>
    </row>
    <row r="790">
      <c r="A790" s="55"/>
      <c r="C790" s="87"/>
      <c r="D790" s="56"/>
      <c r="E790" s="57"/>
      <c r="H790" s="57"/>
      <c r="I790" s="57"/>
    </row>
    <row r="791">
      <c r="A791" s="55"/>
      <c r="C791" s="87"/>
      <c r="D791" s="56"/>
      <c r="E791" s="57"/>
      <c r="H791" s="57"/>
      <c r="I791" s="57"/>
    </row>
    <row r="792">
      <c r="A792" s="55"/>
      <c r="C792" s="87"/>
      <c r="D792" s="56"/>
      <c r="E792" s="57"/>
      <c r="H792" s="57"/>
      <c r="I792" s="57"/>
    </row>
    <row r="793">
      <c r="A793" s="55"/>
      <c r="C793" s="87"/>
      <c r="D793" s="56"/>
      <c r="E793" s="57"/>
      <c r="H793" s="57"/>
      <c r="I793" s="57"/>
    </row>
    <row r="794">
      <c r="A794" s="55"/>
      <c r="C794" s="87"/>
      <c r="D794" s="56"/>
      <c r="E794" s="57"/>
      <c r="H794" s="57"/>
      <c r="I794" s="57"/>
    </row>
    <row r="795">
      <c r="A795" s="55"/>
      <c r="C795" s="87"/>
      <c r="D795" s="56"/>
      <c r="E795" s="57"/>
      <c r="H795" s="57"/>
      <c r="I795" s="57"/>
    </row>
    <row r="796">
      <c r="A796" s="55"/>
      <c r="C796" s="87"/>
      <c r="D796" s="56"/>
      <c r="E796" s="57"/>
      <c r="H796" s="57"/>
      <c r="I796" s="57"/>
    </row>
    <row r="797">
      <c r="A797" s="55"/>
      <c r="C797" s="87"/>
      <c r="D797" s="56"/>
      <c r="E797" s="57"/>
      <c r="H797" s="57"/>
      <c r="I797" s="57"/>
    </row>
    <row r="798">
      <c r="A798" s="55"/>
      <c r="C798" s="87"/>
      <c r="D798" s="56"/>
      <c r="E798" s="57"/>
      <c r="H798" s="57"/>
      <c r="I798" s="57"/>
    </row>
    <row r="799">
      <c r="A799" s="55"/>
      <c r="C799" s="87"/>
      <c r="D799" s="56"/>
      <c r="E799" s="57"/>
      <c r="H799" s="57"/>
      <c r="I799" s="57"/>
    </row>
    <row r="800">
      <c r="A800" s="55"/>
      <c r="C800" s="87"/>
      <c r="D800" s="56"/>
      <c r="E800" s="57"/>
      <c r="H800" s="57"/>
      <c r="I800" s="57"/>
    </row>
    <row r="801">
      <c r="A801" s="55"/>
      <c r="C801" s="87"/>
      <c r="D801" s="56"/>
      <c r="E801" s="57"/>
      <c r="H801" s="57"/>
      <c r="I801" s="57"/>
    </row>
    <row r="802">
      <c r="A802" s="55"/>
      <c r="C802" s="87"/>
      <c r="D802" s="56"/>
      <c r="E802" s="57"/>
      <c r="H802" s="57"/>
      <c r="I802" s="57"/>
    </row>
    <row r="803">
      <c r="A803" s="55"/>
      <c r="C803" s="87"/>
      <c r="D803" s="56"/>
      <c r="E803" s="57"/>
      <c r="H803" s="57"/>
      <c r="I803" s="57"/>
    </row>
    <row r="804">
      <c r="A804" s="55"/>
      <c r="C804" s="87"/>
      <c r="D804" s="56"/>
      <c r="E804" s="57"/>
      <c r="H804" s="57"/>
      <c r="I804" s="57"/>
    </row>
    <row r="805">
      <c r="A805" s="55"/>
      <c r="C805" s="87"/>
      <c r="D805" s="56"/>
      <c r="E805" s="57"/>
      <c r="H805" s="57"/>
      <c r="I805" s="57"/>
    </row>
    <row r="806">
      <c r="A806" s="55"/>
      <c r="C806" s="87"/>
      <c r="D806" s="56"/>
      <c r="E806" s="57"/>
      <c r="H806" s="57"/>
      <c r="I806" s="57"/>
    </row>
    <row r="807">
      <c r="A807" s="55"/>
      <c r="C807" s="87"/>
      <c r="D807" s="56"/>
      <c r="E807" s="57"/>
      <c r="H807" s="57"/>
      <c r="I807" s="57"/>
    </row>
    <row r="808">
      <c r="A808" s="55"/>
      <c r="C808" s="87"/>
      <c r="D808" s="56"/>
      <c r="E808" s="57"/>
      <c r="H808" s="57"/>
      <c r="I808" s="57"/>
    </row>
    <row r="809">
      <c r="A809" s="55"/>
      <c r="C809" s="87"/>
      <c r="D809" s="56"/>
      <c r="E809" s="57"/>
      <c r="H809" s="57"/>
      <c r="I809" s="57"/>
    </row>
    <row r="810">
      <c r="A810" s="55"/>
      <c r="C810" s="87"/>
      <c r="D810" s="56"/>
      <c r="E810" s="57"/>
      <c r="H810" s="57"/>
      <c r="I810" s="57"/>
    </row>
    <row r="811">
      <c r="A811" s="55"/>
      <c r="C811" s="87"/>
      <c r="D811" s="56"/>
      <c r="E811" s="57"/>
      <c r="H811" s="57"/>
      <c r="I811" s="57"/>
    </row>
    <row r="812">
      <c r="A812" s="55"/>
      <c r="C812" s="87"/>
      <c r="D812" s="56"/>
      <c r="E812" s="57"/>
      <c r="H812" s="57"/>
      <c r="I812" s="57"/>
    </row>
    <row r="813">
      <c r="A813" s="55"/>
      <c r="C813" s="87"/>
      <c r="D813" s="56"/>
      <c r="E813" s="57"/>
      <c r="H813" s="57"/>
      <c r="I813" s="57"/>
    </row>
    <row r="814">
      <c r="A814" s="55"/>
      <c r="C814" s="87"/>
      <c r="D814" s="56"/>
      <c r="E814" s="57"/>
      <c r="H814" s="57"/>
      <c r="I814" s="57"/>
    </row>
    <row r="815">
      <c r="A815" s="55"/>
      <c r="C815" s="87"/>
      <c r="D815" s="56"/>
      <c r="E815" s="57"/>
      <c r="H815" s="57"/>
      <c r="I815" s="57"/>
    </row>
    <row r="816">
      <c r="A816" s="55"/>
      <c r="C816" s="87"/>
      <c r="D816" s="56"/>
      <c r="E816" s="57"/>
      <c r="H816" s="57"/>
      <c r="I816" s="57"/>
    </row>
    <row r="817">
      <c r="A817" s="55"/>
      <c r="C817" s="87"/>
      <c r="D817" s="56"/>
      <c r="E817" s="57"/>
      <c r="H817" s="57"/>
      <c r="I817" s="57"/>
    </row>
    <row r="818">
      <c r="A818" s="55"/>
      <c r="C818" s="87"/>
      <c r="D818" s="56"/>
      <c r="E818" s="57"/>
      <c r="H818" s="57"/>
      <c r="I818" s="57"/>
    </row>
    <row r="819">
      <c r="A819" s="55"/>
      <c r="C819" s="87"/>
      <c r="D819" s="56"/>
      <c r="E819" s="57"/>
      <c r="H819" s="57"/>
      <c r="I819" s="57"/>
    </row>
    <row r="820">
      <c r="A820" s="55"/>
      <c r="C820" s="87"/>
      <c r="D820" s="56"/>
      <c r="E820" s="57"/>
      <c r="H820" s="57"/>
      <c r="I820" s="57"/>
    </row>
    <row r="821">
      <c r="A821" s="55"/>
      <c r="C821" s="87"/>
      <c r="D821" s="56"/>
      <c r="E821" s="57"/>
      <c r="H821" s="57"/>
      <c r="I821" s="57"/>
    </row>
    <row r="822">
      <c r="A822" s="55"/>
      <c r="C822" s="87"/>
      <c r="D822" s="56"/>
      <c r="E822" s="57"/>
      <c r="H822" s="57"/>
      <c r="I822" s="57"/>
    </row>
    <row r="823">
      <c r="A823" s="55"/>
      <c r="C823" s="87"/>
      <c r="D823" s="56"/>
      <c r="E823" s="57"/>
      <c r="H823" s="57"/>
      <c r="I823" s="57"/>
    </row>
    <row r="824">
      <c r="A824" s="55"/>
      <c r="C824" s="87"/>
      <c r="D824" s="56"/>
      <c r="E824" s="57"/>
      <c r="H824" s="57"/>
      <c r="I824" s="57"/>
    </row>
    <row r="825">
      <c r="A825" s="55"/>
      <c r="C825" s="87"/>
      <c r="D825" s="56"/>
      <c r="E825" s="57"/>
      <c r="H825" s="57"/>
      <c r="I825" s="57"/>
    </row>
    <row r="826">
      <c r="A826" s="55"/>
      <c r="C826" s="87"/>
      <c r="D826" s="56"/>
      <c r="E826" s="57"/>
      <c r="H826" s="57"/>
      <c r="I826" s="57"/>
    </row>
    <row r="827">
      <c r="A827" s="55"/>
      <c r="C827" s="87"/>
      <c r="D827" s="56"/>
      <c r="E827" s="57"/>
      <c r="H827" s="57"/>
      <c r="I827" s="57"/>
    </row>
    <row r="828">
      <c r="A828" s="55"/>
      <c r="C828" s="87"/>
      <c r="D828" s="56"/>
      <c r="E828" s="57"/>
      <c r="H828" s="57"/>
      <c r="I828" s="57"/>
    </row>
    <row r="829">
      <c r="A829" s="55"/>
      <c r="C829" s="87"/>
      <c r="D829" s="56"/>
      <c r="E829" s="57"/>
      <c r="H829" s="57"/>
      <c r="I829" s="57"/>
    </row>
    <row r="830">
      <c r="A830" s="55"/>
      <c r="C830" s="87"/>
      <c r="D830" s="56"/>
      <c r="E830" s="57"/>
      <c r="H830" s="57"/>
      <c r="I830" s="57"/>
    </row>
    <row r="831">
      <c r="A831" s="55"/>
      <c r="C831" s="87"/>
      <c r="D831" s="56"/>
      <c r="E831" s="57"/>
      <c r="H831" s="57"/>
      <c r="I831" s="57"/>
    </row>
    <row r="832">
      <c r="A832" s="55"/>
      <c r="C832" s="87"/>
      <c r="D832" s="56"/>
      <c r="E832" s="57"/>
      <c r="H832" s="57"/>
      <c r="I832" s="57"/>
    </row>
    <row r="833">
      <c r="A833" s="55"/>
      <c r="C833" s="87"/>
      <c r="D833" s="56"/>
      <c r="E833" s="57"/>
      <c r="H833" s="57"/>
      <c r="I833" s="57"/>
    </row>
    <row r="834">
      <c r="A834" s="55"/>
      <c r="C834" s="87"/>
      <c r="D834" s="56"/>
      <c r="E834" s="57"/>
      <c r="H834" s="57"/>
      <c r="I834" s="57"/>
    </row>
    <row r="835">
      <c r="A835" s="55"/>
      <c r="C835" s="87"/>
      <c r="D835" s="56"/>
      <c r="E835" s="57"/>
      <c r="H835" s="57"/>
      <c r="I835" s="57"/>
    </row>
    <row r="836">
      <c r="A836" s="55"/>
      <c r="C836" s="87"/>
      <c r="D836" s="56"/>
      <c r="E836" s="57"/>
      <c r="H836" s="57"/>
      <c r="I836" s="57"/>
    </row>
    <row r="837">
      <c r="A837" s="55"/>
      <c r="C837" s="87"/>
      <c r="D837" s="56"/>
      <c r="E837" s="57"/>
      <c r="H837" s="57"/>
      <c r="I837" s="57"/>
    </row>
    <row r="838">
      <c r="A838" s="55"/>
      <c r="C838" s="87"/>
      <c r="D838" s="56"/>
      <c r="E838" s="57"/>
      <c r="H838" s="57"/>
      <c r="I838" s="57"/>
    </row>
    <row r="839">
      <c r="A839" s="55"/>
      <c r="C839" s="87"/>
      <c r="D839" s="56"/>
      <c r="E839" s="57"/>
      <c r="H839" s="57"/>
      <c r="I839" s="57"/>
    </row>
    <row r="840">
      <c r="A840" s="55"/>
      <c r="C840" s="87"/>
      <c r="D840" s="56"/>
      <c r="E840" s="57"/>
      <c r="H840" s="57"/>
      <c r="I840" s="57"/>
    </row>
    <row r="841">
      <c r="A841" s="55"/>
      <c r="C841" s="87"/>
      <c r="D841" s="56"/>
      <c r="E841" s="57"/>
      <c r="H841" s="57"/>
      <c r="I841" s="57"/>
    </row>
    <row r="842">
      <c r="A842" s="55"/>
      <c r="C842" s="87"/>
      <c r="D842" s="56"/>
      <c r="E842" s="57"/>
      <c r="H842" s="57"/>
      <c r="I842" s="57"/>
    </row>
    <row r="843">
      <c r="A843" s="55"/>
      <c r="C843" s="87"/>
      <c r="D843" s="56"/>
      <c r="E843" s="57"/>
      <c r="H843" s="57"/>
      <c r="I843" s="57"/>
    </row>
    <row r="844">
      <c r="A844" s="55"/>
      <c r="C844" s="87"/>
      <c r="D844" s="56"/>
      <c r="E844" s="57"/>
      <c r="H844" s="57"/>
      <c r="I844" s="57"/>
    </row>
    <row r="845">
      <c r="A845" s="55"/>
      <c r="C845" s="87"/>
      <c r="D845" s="56"/>
      <c r="E845" s="57"/>
      <c r="H845" s="57"/>
      <c r="I845" s="57"/>
    </row>
    <row r="846">
      <c r="A846" s="55"/>
      <c r="C846" s="87"/>
      <c r="D846" s="56"/>
      <c r="E846" s="57"/>
      <c r="H846" s="57"/>
      <c r="I846" s="57"/>
    </row>
    <row r="847">
      <c r="A847" s="55"/>
      <c r="C847" s="87"/>
      <c r="D847" s="56"/>
      <c r="E847" s="57"/>
      <c r="H847" s="57"/>
      <c r="I847" s="57"/>
    </row>
    <row r="848">
      <c r="A848" s="55"/>
      <c r="C848" s="87"/>
      <c r="D848" s="56"/>
      <c r="E848" s="57"/>
      <c r="H848" s="57"/>
      <c r="I848" s="57"/>
    </row>
    <row r="849">
      <c r="A849" s="55"/>
      <c r="C849" s="87"/>
      <c r="D849" s="56"/>
      <c r="E849" s="57"/>
      <c r="H849" s="57"/>
      <c r="I849" s="57"/>
    </row>
    <row r="850">
      <c r="A850" s="55"/>
      <c r="C850" s="87"/>
      <c r="D850" s="56"/>
      <c r="E850" s="57"/>
      <c r="H850" s="57"/>
      <c r="I850" s="57"/>
    </row>
    <row r="851">
      <c r="A851" s="55"/>
      <c r="C851" s="87"/>
      <c r="D851" s="56"/>
      <c r="E851" s="57"/>
      <c r="H851" s="57"/>
      <c r="I851" s="57"/>
    </row>
    <row r="852">
      <c r="A852" s="55"/>
      <c r="C852" s="87"/>
      <c r="D852" s="56"/>
      <c r="E852" s="57"/>
      <c r="H852" s="57"/>
      <c r="I852" s="57"/>
    </row>
    <row r="853">
      <c r="A853" s="55"/>
      <c r="C853" s="87"/>
      <c r="D853" s="56"/>
      <c r="E853" s="57"/>
      <c r="H853" s="57"/>
      <c r="I853" s="57"/>
    </row>
    <row r="854">
      <c r="A854" s="55"/>
      <c r="C854" s="87"/>
      <c r="D854" s="56"/>
      <c r="E854" s="57"/>
      <c r="H854" s="57"/>
      <c r="I854" s="57"/>
    </row>
    <row r="855">
      <c r="A855" s="55"/>
      <c r="C855" s="87"/>
      <c r="D855" s="56"/>
      <c r="E855" s="57"/>
      <c r="H855" s="57"/>
      <c r="I855" s="57"/>
    </row>
    <row r="856">
      <c r="A856" s="55"/>
      <c r="C856" s="87"/>
      <c r="D856" s="56"/>
      <c r="E856" s="57"/>
      <c r="H856" s="57"/>
      <c r="I856" s="57"/>
    </row>
    <row r="857">
      <c r="A857" s="55"/>
      <c r="C857" s="87"/>
      <c r="D857" s="56"/>
      <c r="E857" s="57"/>
      <c r="H857" s="57"/>
      <c r="I857" s="57"/>
    </row>
    <row r="858">
      <c r="A858" s="55"/>
      <c r="C858" s="87"/>
      <c r="D858" s="56"/>
      <c r="E858" s="57"/>
      <c r="H858" s="57"/>
      <c r="I858" s="57"/>
    </row>
    <row r="859">
      <c r="A859" s="55"/>
      <c r="C859" s="87"/>
      <c r="D859" s="56"/>
      <c r="E859" s="57"/>
      <c r="H859" s="57"/>
      <c r="I859" s="57"/>
    </row>
    <row r="860">
      <c r="A860" s="55"/>
      <c r="C860" s="87"/>
      <c r="D860" s="56"/>
      <c r="E860" s="57"/>
      <c r="H860" s="57"/>
      <c r="I860" s="57"/>
    </row>
    <row r="861">
      <c r="A861" s="55"/>
      <c r="C861" s="87"/>
      <c r="D861" s="56"/>
      <c r="E861" s="57"/>
      <c r="H861" s="57"/>
      <c r="I861" s="57"/>
    </row>
    <row r="862">
      <c r="A862" s="55"/>
      <c r="C862" s="87"/>
      <c r="D862" s="56"/>
      <c r="E862" s="57"/>
      <c r="H862" s="57"/>
      <c r="I862" s="57"/>
    </row>
    <row r="863">
      <c r="A863" s="55"/>
      <c r="C863" s="87"/>
      <c r="D863" s="56"/>
      <c r="E863" s="57"/>
      <c r="H863" s="57"/>
      <c r="I863" s="57"/>
    </row>
    <row r="864">
      <c r="A864" s="55"/>
      <c r="C864" s="87"/>
      <c r="D864" s="56"/>
      <c r="E864" s="57"/>
      <c r="H864" s="57"/>
      <c r="I864" s="57"/>
    </row>
    <row r="865">
      <c r="A865" s="55"/>
      <c r="C865" s="87"/>
      <c r="D865" s="56"/>
      <c r="E865" s="57"/>
      <c r="H865" s="57"/>
      <c r="I865" s="57"/>
    </row>
    <row r="866">
      <c r="A866" s="55"/>
      <c r="C866" s="87"/>
      <c r="D866" s="56"/>
      <c r="E866" s="57"/>
      <c r="H866" s="57"/>
      <c r="I866" s="57"/>
    </row>
    <row r="867">
      <c r="A867" s="55"/>
      <c r="C867" s="87"/>
      <c r="D867" s="56"/>
      <c r="E867" s="57"/>
      <c r="H867" s="57"/>
      <c r="I867" s="57"/>
    </row>
    <row r="868">
      <c r="A868" s="55"/>
      <c r="C868" s="87"/>
      <c r="D868" s="56"/>
      <c r="E868" s="57"/>
      <c r="H868" s="57"/>
      <c r="I868" s="57"/>
    </row>
    <row r="869">
      <c r="A869" s="55"/>
      <c r="C869" s="87"/>
      <c r="D869" s="56"/>
      <c r="E869" s="57"/>
      <c r="H869" s="57"/>
      <c r="I869" s="57"/>
    </row>
    <row r="870">
      <c r="A870" s="55"/>
      <c r="C870" s="87"/>
      <c r="D870" s="56"/>
      <c r="E870" s="57"/>
      <c r="H870" s="57"/>
      <c r="I870" s="57"/>
    </row>
    <row r="871">
      <c r="A871" s="55"/>
      <c r="C871" s="87"/>
      <c r="D871" s="56"/>
      <c r="E871" s="57"/>
      <c r="H871" s="57"/>
      <c r="I871" s="57"/>
    </row>
    <row r="872">
      <c r="A872" s="55"/>
      <c r="C872" s="87"/>
      <c r="D872" s="56"/>
      <c r="E872" s="57"/>
      <c r="H872" s="57"/>
      <c r="I872" s="57"/>
    </row>
    <row r="873">
      <c r="A873" s="55"/>
      <c r="C873" s="87"/>
      <c r="D873" s="56"/>
      <c r="E873" s="57"/>
      <c r="H873" s="57"/>
      <c r="I873" s="57"/>
    </row>
    <row r="874">
      <c r="A874" s="55"/>
      <c r="C874" s="87"/>
      <c r="D874" s="56"/>
      <c r="E874" s="57"/>
      <c r="H874" s="57"/>
      <c r="I874" s="57"/>
    </row>
    <row r="875">
      <c r="A875" s="55"/>
      <c r="C875" s="87"/>
      <c r="D875" s="56"/>
      <c r="E875" s="57"/>
      <c r="H875" s="57"/>
      <c r="I875" s="57"/>
    </row>
    <row r="876">
      <c r="A876" s="55"/>
      <c r="C876" s="87"/>
      <c r="D876" s="56"/>
      <c r="E876" s="57"/>
      <c r="H876" s="57"/>
      <c r="I876" s="57"/>
    </row>
    <row r="877">
      <c r="A877" s="55"/>
      <c r="C877" s="87"/>
      <c r="D877" s="56"/>
      <c r="E877" s="57"/>
      <c r="H877" s="57"/>
      <c r="I877" s="57"/>
    </row>
    <row r="878">
      <c r="A878" s="55"/>
      <c r="C878" s="87"/>
      <c r="D878" s="56"/>
      <c r="E878" s="57"/>
      <c r="H878" s="57"/>
      <c r="I878" s="57"/>
    </row>
    <row r="879">
      <c r="A879" s="55"/>
      <c r="C879" s="87"/>
      <c r="D879" s="56"/>
      <c r="E879" s="57"/>
      <c r="H879" s="57"/>
      <c r="I879" s="57"/>
    </row>
    <row r="880">
      <c r="A880" s="55"/>
      <c r="C880" s="87"/>
      <c r="D880" s="56"/>
      <c r="E880" s="57"/>
      <c r="H880" s="57"/>
      <c r="I880" s="57"/>
    </row>
    <row r="881">
      <c r="A881" s="55"/>
      <c r="C881" s="87"/>
      <c r="D881" s="56"/>
      <c r="E881" s="57"/>
      <c r="H881" s="57"/>
      <c r="I881" s="57"/>
    </row>
    <row r="882">
      <c r="A882" s="55"/>
      <c r="C882" s="87"/>
      <c r="D882" s="56"/>
      <c r="E882" s="57"/>
      <c r="H882" s="57"/>
      <c r="I882" s="57"/>
    </row>
    <row r="883">
      <c r="A883" s="55"/>
      <c r="C883" s="87"/>
      <c r="D883" s="56"/>
      <c r="E883" s="57"/>
      <c r="H883" s="57"/>
      <c r="I883" s="57"/>
    </row>
    <row r="884">
      <c r="A884" s="55"/>
      <c r="C884" s="87"/>
      <c r="D884" s="56"/>
      <c r="E884" s="57"/>
      <c r="H884" s="57"/>
      <c r="I884" s="57"/>
    </row>
    <row r="885">
      <c r="A885" s="55"/>
      <c r="C885" s="87"/>
      <c r="D885" s="56"/>
      <c r="E885" s="57"/>
      <c r="H885" s="57"/>
      <c r="I885" s="57"/>
    </row>
    <row r="886">
      <c r="A886" s="55"/>
      <c r="C886" s="87"/>
      <c r="D886" s="56"/>
      <c r="E886" s="57"/>
      <c r="H886" s="57"/>
      <c r="I886" s="57"/>
    </row>
    <row r="887">
      <c r="A887" s="55"/>
      <c r="C887" s="87"/>
      <c r="D887" s="56"/>
      <c r="E887" s="57"/>
      <c r="H887" s="57"/>
      <c r="I887" s="57"/>
    </row>
    <row r="888">
      <c r="A888" s="55"/>
      <c r="C888" s="87"/>
      <c r="D888" s="56"/>
      <c r="E888" s="57"/>
      <c r="H888" s="57"/>
      <c r="I888" s="57"/>
    </row>
    <row r="889">
      <c r="A889" s="55"/>
      <c r="C889" s="87"/>
      <c r="D889" s="56"/>
      <c r="E889" s="57"/>
      <c r="H889" s="57"/>
      <c r="I889" s="57"/>
    </row>
    <row r="890">
      <c r="A890" s="55"/>
      <c r="C890" s="87"/>
      <c r="D890" s="56"/>
      <c r="E890" s="57"/>
      <c r="H890" s="57"/>
      <c r="I890" s="57"/>
    </row>
    <row r="891">
      <c r="A891" s="55"/>
      <c r="C891" s="87"/>
      <c r="D891" s="56"/>
      <c r="E891" s="57"/>
      <c r="H891" s="57"/>
      <c r="I891" s="57"/>
    </row>
    <row r="892">
      <c r="A892" s="55"/>
      <c r="C892" s="87"/>
      <c r="D892" s="56"/>
      <c r="E892" s="57"/>
      <c r="H892" s="57"/>
      <c r="I892" s="57"/>
    </row>
    <row r="893">
      <c r="A893" s="55"/>
      <c r="C893" s="87"/>
      <c r="D893" s="56"/>
      <c r="E893" s="57"/>
      <c r="H893" s="57"/>
      <c r="I893" s="57"/>
    </row>
    <row r="894">
      <c r="A894" s="55"/>
      <c r="C894" s="87"/>
      <c r="D894" s="56"/>
      <c r="E894" s="57"/>
      <c r="H894" s="57"/>
      <c r="I894" s="57"/>
    </row>
    <row r="895">
      <c r="A895" s="55"/>
      <c r="C895" s="87"/>
      <c r="D895" s="56"/>
      <c r="E895" s="57"/>
      <c r="H895" s="57"/>
      <c r="I895" s="57"/>
    </row>
    <row r="896">
      <c r="A896" s="55"/>
      <c r="C896" s="87"/>
      <c r="D896" s="56"/>
      <c r="E896" s="57"/>
      <c r="H896" s="57"/>
      <c r="I896" s="57"/>
    </row>
    <row r="897">
      <c r="A897" s="55"/>
      <c r="C897" s="87"/>
      <c r="D897" s="56"/>
      <c r="E897" s="57"/>
      <c r="H897" s="57"/>
      <c r="I897" s="57"/>
    </row>
    <row r="898">
      <c r="A898" s="55"/>
      <c r="C898" s="87"/>
      <c r="D898" s="56"/>
      <c r="E898" s="57"/>
      <c r="H898" s="57"/>
      <c r="I898" s="57"/>
    </row>
    <row r="899">
      <c r="A899" s="55"/>
      <c r="C899" s="87"/>
      <c r="D899" s="56"/>
      <c r="E899" s="57"/>
      <c r="H899" s="57"/>
      <c r="I899" s="57"/>
    </row>
    <row r="900">
      <c r="A900" s="55"/>
      <c r="C900" s="87"/>
      <c r="D900" s="56"/>
      <c r="E900" s="57"/>
      <c r="H900" s="57"/>
      <c r="I900" s="57"/>
    </row>
    <row r="901">
      <c r="A901" s="55"/>
      <c r="C901" s="87"/>
      <c r="D901" s="56"/>
      <c r="E901" s="57"/>
      <c r="H901" s="57"/>
      <c r="I901" s="57"/>
    </row>
    <row r="902">
      <c r="A902" s="55"/>
      <c r="C902" s="87"/>
      <c r="D902" s="56"/>
      <c r="E902" s="57"/>
      <c r="H902" s="57"/>
      <c r="I902" s="57"/>
    </row>
    <row r="903">
      <c r="A903" s="55"/>
      <c r="C903" s="87"/>
      <c r="D903" s="56"/>
      <c r="E903" s="57"/>
      <c r="H903" s="57"/>
      <c r="I903" s="57"/>
    </row>
    <row r="904">
      <c r="A904" s="55"/>
      <c r="C904" s="87"/>
      <c r="D904" s="56"/>
      <c r="E904" s="57"/>
      <c r="H904" s="57"/>
      <c r="I904" s="57"/>
    </row>
    <row r="905">
      <c r="A905" s="55"/>
      <c r="C905" s="87"/>
      <c r="D905" s="56"/>
      <c r="E905" s="57"/>
      <c r="H905" s="57"/>
      <c r="I905" s="57"/>
    </row>
    <row r="906">
      <c r="A906" s="55"/>
      <c r="C906" s="87"/>
      <c r="D906" s="56"/>
      <c r="E906" s="57"/>
      <c r="H906" s="57"/>
      <c r="I906" s="57"/>
    </row>
    <row r="907">
      <c r="A907" s="55"/>
      <c r="C907" s="87"/>
      <c r="D907" s="56"/>
      <c r="E907" s="57"/>
      <c r="H907" s="57"/>
      <c r="I907" s="57"/>
    </row>
    <row r="908">
      <c r="A908" s="55"/>
      <c r="C908" s="87"/>
      <c r="D908" s="56"/>
      <c r="E908" s="57"/>
      <c r="H908" s="57"/>
      <c r="I908" s="57"/>
    </row>
    <row r="909">
      <c r="A909" s="55"/>
      <c r="C909" s="87"/>
      <c r="D909" s="56"/>
      <c r="E909" s="57"/>
      <c r="H909" s="57"/>
      <c r="I909" s="57"/>
    </row>
    <row r="910">
      <c r="A910" s="55"/>
      <c r="C910" s="87"/>
      <c r="D910" s="56"/>
      <c r="E910" s="57"/>
      <c r="H910" s="57"/>
      <c r="I910" s="57"/>
    </row>
    <row r="911">
      <c r="A911" s="55"/>
      <c r="C911" s="87"/>
      <c r="D911" s="56"/>
      <c r="E911" s="57"/>
      <c r="H911" s="57"/>
      <c r="I911" s="57"/>
    </row>
    <row r="912">
      <c r="A912" s="55"/>
      <c r="C912" s="87"/>
      <c r="D912" s="56"/>
      <c r="E912" s="57"/>
      <c r="H912" s="57"/>
      <c r="I912" s="57"/>
    </row>
    <row r="913">
      <c r="A913" s="55"/>
      <c r="C913" s="87"/>
      <c r="D913" s="56"/>
      <c r="E913" s="57"/>
      <c r="H913" s="57"/>
      <c r="I913" s="57"/>
    </row>
    <row r="914">
      <c r="A914" s="55"/>
      <c r="C914" s="87"/>
      <c r="D914" s="56"/>
      <c r="E914" s="57"/>
      <c r="H914" s="57"/>
      <c r="I914" s="57"/>
    </row>
    <row r="915">
      <c r="A915" s="55"/>
      <c r="C915" s="87"/>
      <c r="D915" s="56"/>
      <c r="E915" s="57"/>
      <c r="H915" s="57"/>
      <c r="I915" s="57"/>
    </row>
    <row r="916">
      <c r="A916" s="55"/>
      <c r="C916" s="87"/>
      <c r="D916" s="56"/>
      <c r="E916" s="57"/>
      <c r="H916" s="57"/>
      <c r="I916" s="57"/>
    </row>
    <row r="917">
      <c r="A917" s="55"/>
      <c r="C917" s="87"/>
      <c r="D917" s="56"/>
      <c r="E917" s="57"/>
      <c r="H917" s="57"/>
      <c r="I917" s="57"/>
    </row>
    <row r="918">
      <c r="A918" s="55"/>
      <c r="C918" s="87"/>
      <c r="D918" s="56"/>
      <c r="E918" s="57"/>
      <c r="H918" s="57"/>
      <c r="I918" s="57"/>
    </row>
    <row r="919">
      <c r="A919" s="55"/>
      <c r="C919" s="87"/>
      <c r="D919" s="56"/>
      <c r="E919" s="57"/>
      <c r="H919" s="57"/>
      <c r="I919" s="57"/>
    </row>
    <row r="920">
      <c r="A920" s="55"/>
      <c r="C920" s="87"/>
      <c r="D920" s="56"/>
      <c r="E920" s="57"/>
      <c r="H920" s="57"/>
      <c r="I920" s="57"/>
    </row>
    <row r="921">
      <c r="A921" s="55"/>
      <c r="C921" s="87"/>
      <c r="D921" s="56"/>
      <c r="E921" s="57"/>
      <c r="H921" s="57"/>
      <c r="I921" s="57"/>
    </row>
    <row r="922">
      <c r="A922" s="55"/>
      <c r="C922" s="87"/>
      <c r="D922" s="56"/>
      <c r="E922" s="57"/>
      <c r="H922" s="57"/>
      <c r="I922" s="57"/>
    </row>
    <row r="923">
      <c r="A923" s="55"/>
      <c r="C923" s="87"/>
      <c r="D923" s="56"/>
      <c r="E923" s="57"/>
      <c r="H923" s="57"/>
      <c r="I923" s="57"/>
    </row>
    <row r="924">
      <c r="A924" s="55"/>
      <c r="C924" s="87"/>
      <c r="D924" s="56"/>
      <c r="E924" s="57"/>
      <c r="H924" s="57"/>
      <c r="I924" s="57"/>
    </row>
    <row r="925">
      <c r="A925" s="55"/>
      <c r="C925" s="87"/>
      <c r="D925" s="56"/>
      <c r="E925" s="57"/>
      <c r="H925" s="57"/>
      <c r="I925" s="57"/>
    </row>
    <row r="926">
      <c r="A926" s="55"/>
      <c r="C926" s="87"/>
      <c r="D926" s="56"/>
      <c r="E926" s="57"/>
      <c r="H926" s="57"/>
      <c r="I926" s="57"/>
    </row>
    <row r="927">
      <c r="A927" s="55"/>
      <c r="C927" s="87"/>
      <c r="D927" s="56"/>
      <c r="E927" s="57"/>
      <c r="H927" s="57"/>
      <c r="I927" s="57"/>
    </row>
    <row r="928">
      <c r="A928" s="55"/>
      <c r="C928" s="87"/>
      <c r="D928" s="56"/>
      <c r="E928" s="57"/>
      <c r="H928" s="57"/>
      <c r="I928" s="57"/>
    </row>
    <row r="929">
      <c r="A929" s="55"/>
      <c r="C929" s="87"/>
      <c r="D929" s="56"/>
      <c r="E929" s="57"/>
      <c r="H929" s="57"/>
      <c r="I929" s="57"/>
    </row>
    <row r="930">
      <c r="A930" s="55"/>
      <c r="C930" s="87"/>
      <c r="D930" s="56"/>
      <c r="E930" s="57"/>
      <c r="H930" s="57"/>
      <c r="I930" s="57"/>
    </row>
    <row r="931">
      <c r="A931" s="55"/>
      <c r="C931" s="87"/>
      <c r="D931" s="56"/>
      <c r="E931" s="57"/>
      <c r="H931" s="57"/>
      <c r="I931" s="57"/>
    </row>
    <row r="932">
      <c r="A932" s="55"/>
      <c r="C932" s="87"/>
      <c r="D932" s="56"/>
      <c r="E932" s="57"/>
      <c r="H932" s="57"/>
      <c r="I932" s="57"/>
    </row>
    <row r="933">
      <c r="A933" s="55"/>
      <c r="C933" s="87"/>
      <c r="D933" s="56"/>
      <c r="E933" s="57"/>
      <c r="H933" s="57"/>
      <c r="I933" s="57"/>
    </row>
    <row r="934">
      <c r="A934" s="55"/>
      <c r="C934" s="87"/>
      <c r="D934" s="56"/>
      <c r="E934" s="57"/>
      <c r="H934" s="57"/>
      <c r="I934" s="57"/>
    </row>
    <row r="935">
      <c r="A935" s="55"/>
      <c r="C935" s="87"/>
      <c r="D935" s="56"/>
      <c r="E935" s="57"/>
      <c r="H935" s="57"/>
      <c r="I935" s="57"/>
    </row>
    <row r="936">
      <c r="A936" s="55"/>
      <c r="C936" s="87"/>
      <c r="D936" s="56"/>
      <c r="E936" s="57"/>
      <c r="H936" s="57"/>
      <c r="I936" s="57"/>
    </row>
    <row r="937">
      <c r="A937" s="55"/>
      <c r="C937" s="87"/>
      <c r="D937" s="56"/>
      <c r="E937" s="57"/>
      <c r="H937" s="57"/>
      <c r="I937" s="57"/>
    </row>
    <row r="938">
      <c r="A938" s="55"/>
      <c r="C938" s="87"/>
      <c r="D938" s="56"/>
      <c r="E938" s="57"/>
      <c r="H938" s="57"/>
      <c r="I938" s="57"/>
    </row>
    <row r="939">
      <c r="A939" s="55"/>
      <c r="C939" s="87"/>
      <c r="D939" s="56"/>
      <c r="E939" s="57"/>
      <c r="H939" s="57"/>
      <c r="I939" s="57"/>
    </row>
    <row r="940">
      <c r="A940" s="55"/>
      <c r="C940" s="87"/>
      <c r="D940" s="56"/>
      <c r="E940" s="57"/>
      <c r="H940" s="57"/>
      <c r="I940" s="57"/>
    </row>
    <row r="941">
      <c r="A941" s="55"/>
      <c r="C941" s="87"/>
      <c r="D941" s="56"/>
      <c r="E941" s="57"/>
      <c r="H941" s="57"/>
      <c r="I941" s="57"/>
    </row>
    <row r="942">
      <c r="A942" s="55"/>
      <c r="C942" s="87"/>
      <c r="D942" s="56"/>
      <c r="E942" s="57"/>
      <c r="H942" s="57"/>
      <c r="I942" s="57"/>
    </row>
    <row r="943">
      <c r="A943" s="55"/>
      <c r="C943" s="87"/>
      <c r="D943" s="56"/>
      <c r="E943" s="57"/>
      <c r="H943" s="57"/>
      <c r="I943" s="57"/>
    </row>
    <row r="944">
      <c r="A944" s="55"/>
      <c r="C944" s="87"/>
      <c r="D944" s="56"/>
      <c r="E944" s="57"/>
      <c r="H944" s="57"/>
      <c r="I944" s="57"/>
    </row>
    <row r="945">
      <c r="A945" s="55"/>
      <c r="C945" s="87"/>
      <c r="D945" s="56"/>
      <c r="E945" s="57"/>
      <c r="H945" s="57"/>
      <c r="I945" s="57"/>
    </row>
    <row r="946">
      <c r="A946" s="55"/>
      <c r="C946" s="87"/>
      <c r="D946" s="56"/>
      <c r="E946" s="57"/>
      <c r="H946" s="57"/>
      <c r="I946" s="57"/>
    </row>
    <row r="947">
      <c r="A947" s="55"/>
      <c r="C947" s="87"/>
      <c r="D947" s="56"/>
      <c r="E947" s="57"/>
      <c r="H947" s="57"/>
      <c r="I947" s="57"/>
    </row>
    <row r="948">
      <c r="A948" s="55"/>
      <c r="C948" s="87"/>
      <c r="D948" s="56"/>
      <c r="E948" s="57"/>
      <c r="H948" s="57"/>
      <c r="I948" s="57"/>
    </row>
    <row r="949">
      <c r="A949" s="55"/>
      <c r="C949" s="87"/>
      <c r="D949" s="56"/>
      <c r="E949" s="57"/>
      <c r="H949" s="57"/>
      <c r="I949" s="57"/>
    </row>
    <row r="950">
      <c r="A950" s="55"/>
      <c r="C950" s="87"/>
      <c r="D950" s="56"/>
      <c r="E950" s="57"/>
      <c r="H950" s="57"/>
      <c r="I950" s="57"/>
    </row>
    <row r="951">
      <c r="A951" s="55"/>
      <c r="C951" s="87"/>
      <c r="D951" s="56"/>
      <c r="E951" s="57"/>
      <c r="H951" s="57"/>
      <c r="I951" s="57"/>
    </row>
    <row r="952">
      <c r="A952" s="55"/>
      <c r="C952" s="87"/>
      <c r="D952" s="56"/>
      <c r="E952" s="57"/>
      <c r="H952" s="57"/>
      <c r="I952" s="57"/>
    </row>
    <row r="953">
      <c r="A953" s="55"/>
      <c r="C953" s="87"/>
      <c r="D953" s="56"/>
      <c r="E953" s="57"/>
      <c r="H953" s="57"/>
      <c r="I953" s="57"/>
    </row>
    <row r="954">
      <c r="A954" s="55"/>
      <c r="C954" s="87"/>
      <c r="D954" s="56"/>
      <c r="E954" s="57"/>
      <c r="H954" s="57"/>
      <c r="I954" s="57"/>
    </row>
    <row r="955">
      <c r="A955" s="55"/>
      <c r="C955" s="87"/>
      <c r="D955" s="56"/>
      <c r="E955" s="57"/>
      <c r="H955" s="57"/>
      <c r="I955" s="57"/>
    </row>
    <row r="956">
      <c r="A956" s="55"/>
      <c r="C956" s="87"/>
      <c r="D956" s="56"/>
      <c r="E956" s="57"/>
      <c r="H956" s="57"/>
      <c r="I956" s="57"/>
    </row>
    <row r="957">
      <c r="A957" s="55"/>
      <c r="C957" s="87"/>
      <c r="D957" s="56"/>
      <c r="E957" s="57"/>
      <c r="H957" s="57"/>
      <c r="I957" s="57"/>
    </row>
    <row r="958">
      <c r="A958" s="55"/>
      <c r="C958" s="87"/>
      <c r="D958" s="56"/>
      <c r="E958" s="57"/>
      <c r="H958" s="57"/>
      <c r="I958" s="57"/>
    </row>
    <row r="959">
      <c r="A959" s="55"/>
      <c r="C959" s="87"/>
      <c r="D959" s="56"/>
      <c r="E959" s="57"/>
      <c r="H959" s="57"/>
      <c r="I959" s="57"/>
    </row>
    <row r="960">
      <c r="A960" s="55"/>
      <c r="C960" s="87"/>
      <c r="D960" s="56"/>
      <c r="E960" s="57"/>
      <c r="H960" s="57"/>
      <c r="I960" s="57"/>
    </row>
    <row r="961">
      <c r="A961" s="55"/>
      <c r="C961" s="87"/>
      <c r="D961" s="56"/>
      <c r="E961" s="57"/>
      <c r="H961" s="57"/>
      <c r="I961" s="57"/>
    </row>
    <row r="962">
      <c r="A962" s="55"/>
      <c r="C962" s="87"/>
      <c r="D962" s="56"/>
      <c r="E962" s="57"/>
      <c r="H962" s="57"/>
      <c r="I962" s="57"/>
    </row>
    <row r="963">
      <c r="A963" s="55"/>
      <c r="C963" s="87"/>
      <c r="D963" s="56"/>
      <c r="E963" s="57"/>
      <c r="H963" s="57"/>
      <c r="I963" s="57"/>
    </row>
    <row r="964">
      <c r="A964" s="55"/>
      <c r="C964" s="87"/>
      <c r="D964" s="56"/>
      <c r="E964" s="57"/>
      <c r="H964" s="57"/>
      <c r="I964" s="57"/>
    </row>
    <row r="965">
      <c r="A965" s="55"/>
      <c r="C965" s="87"/>
      <c r="D965" s="56"/>
      <c r="E965" s="57"/>
      <c r="H965" s="57"/>
      <c r="I965" s="57"/>
    </row>
    <row r="966">
      <c r="A966" s="55"/>
      <c r="C966" s="87"/>
      <c r="D966" s="56"/>
      <c r="E966" s="57"/>
      <c r="H966" s="57"/>
      <c r="I966" s="57"/>
    </row>
    <row r="967">
      <c r="A967" s="55"/>
      <c r="C967" s="87"/>
      <c r="D967" s="56"/>
      <c r="E967" s="57"/>
      <c r="H967" s="57"/>
      <c r="I967" s="57"/>
    </row>
    <row r="968">
      <c r="A968" s="55"/>
      <c r="C968" s="87"/>
      <c r="D968" s="56"/>
      <c r="E968" s="57"/>
      <c r="H968" s="57"/>
      <c r="I968" s="57"/>
    </row>
    <row r="969">
      <c r="A969" s="55"/>
      <c r="C969" s="87"/>
      <c r="D969" s="56"/>
      <c r="E969" s="57"/>
      <c r="H969" s="57"/>
      <c r="I969" s="57"/>
    </row>
    <row r="970">
      <c r="A970" s="55"/>
      <c r="C970" s="87"/>
      <c r="D970" s="56"/>
      <c r="E970" s="57"/>
      <c r="H970" s="57"/>
      <c r="I970" s="57"/>
    </row>
    <row r="971">
      <c r="A971" s="55"/>
      <c r="C971" s="87"/>
      <c r="D971" s="56"/>
      <c r="E971" s="57"/>
      <c r="H971" s="57"/>
      <c r="I971" s="57"/>
    </row>
    <row r="972">
      <c r="A972" s="55"/>
      <c r="C972" s="87"/>
      <c r="D972" s="56"/>
      <c r="E972" s="57"/>
      <c r="H972" s="57"/>
      <c r="I972" s="57"/>
    </row>
    <row r="973">
      <c r="A973" s="55"/>
      <c r="C973" s="87"/>
      <c r="D973" s="56"/>
      <c r="E973" s="57"/>
      <c r="H973" s="57"/>
      <c r="I973" s="57"/>
    </row>
    <row r="974">
      <c r="A974" s="55"/>
      <c r="C974" s="87"/>
      <c r="D974" s="56"/>
      <c r="E974" s="57"/>
      <c r="H974" s="57"/>
      <c r="I974" s="57"/>
    </row>
    <row r="975">
      <c r="A975" s="55"/>
      <c r="C975" s="87"/>
      <c r="D975" s="56"/>
      <c r="E975" s="57"/>
      <c r="H975" s="57"/>
      <c r="I975" s="57"/>
    </row>
    <row r="976">
      <c r="A976" s="55"/>
      <c r="C976" s="87"/>
      <c r="D976" s="56"/>
      <c r="E976" s="57"/>
      <c r="H976" s="57"/>
      <c r="I976" s="57"/>
    </row>
    <row r="977">
      <c r="A977" s="55"/>
      <c r="C977" s="87"/>
      <c r="D977" s="56"/>
      <c r="E977" s="57"/>
      <c r="H977" s="57"/>
      <c r="I977" s="57"/>
    </row>
    <row r="978">
      <c r="A978" s="55"/>
      <c r="C978" s="87"/>
      <c r="D978" s="56"/>
      <c r="E978" s="57"/>
      <c r="H978" s="57"/>
      <c r="I978" s="57"/>
    </row>
    <row r="979">
      <c r="A979" s="55"/>
      <c r="C979" s="87"/>
      <c r="D979" s="56"/>
      <c r="E979" s="57"/>
      <c r="H979" s="57"/>
      <c r="I979" s="57"/>
    </row>
    <row r="980">
      <c r="A980" s="55"/>
      <c r="C980" s="87"/>
      <c r="D980" s="56"/>
      <c r="E980" s="57"/>
      <c r="H980" s="57"/>
      <c r="I980" s="57"/>
    </row>
    <row r="981">
      <c r="A981" s="55"/>
      <c r="C981" s="87"/>
      <c r="D981" s="56"/>
      <c r="E981" s="57"/>
      <c r="H981" s="57"/>
      <c r="I981" s="57"/>
    </row>
    <row r="982">
      <c r="A982" s="55"/>
      <c r="C982" s="87"/>
      <c r="D982" s="56"/>
      <c r="E982" s="57"/>
      <c r="H982" s="57"/>
      <c r="I982" s="57"/>
    </row>
    <row r="983">
      <c r="A983" s="55"/>
      <c r="C983" s="87"/>
      <c r="D983" s="56"/>
      <c r="E983" s="57"/>
      <c r="H983" s="57"/>
      <c r="I983" s="57"/>
    </row>
    <row r="984">
      <c r="A984" s="55"/>
      <c r="C984" s="87"/>
      <c r="D984" s="56"/>
      <c r="E984" s="57"/>
      <c r="H984" s="57"/>
      <c r="I984" s="57"/>
    </row>
    <row r="985">
      <c r="A985" s="55"/>
      <c r="C985" s="87"/>
      <c r="D985" s="56"/>
      <c r="E985" s="57"/>
      <c r="H985" s="57"/>
      <c r="I985" s="57"/>
    </row>
    <row r="986">
      <c r="A986" s="55"/>
      <c r="C986" s="87"/>
      <c r="D986" s="56"/>
      <c r="E986" s="57"/>
      <c r="H986" s="57"/>
      <c r="I986" s="57"/>
    </row>
    <row r="987">
      <c r="A987" s="55"/>
      <c r="C987" s="87"/>
      <c r="D987" s="56"/>
      <c r="E987" s="57"/>
      <c r="H987" s="57"/>
      <c r="I987" s="57"/>
    </row>
    <row r="988">
      <c r="A988" s="55"/>
      <c r="C988" s="87"/>
      <c r="D988" s="56"/>
      <c r="E988" s="57"/>
      <c r="H988" s="57"/>
      <c r="I988" s="57"/>
    </row>
    <row r="989">
      <c r="A989" s="55"/>
      <c r="C989" s="87"/>
      <c r="D989" s="56"/>
      <c r="E989" s="57"/>
      <c r="H989" s="57"/>
      <c r="I989" s="57"/>
    </row>
    <row r="990">
      <c r="A990" s="55"/>
      <c r="C990" s="87"/>
      <c r="D990" s="56"/>
      <c r="E990" s="57"/>
      <c r="H990" s="57"/>
      <c r="I990" s="57"/>
    </row>
    <row r="991">
      <c r="A991" s="55"/>
      <c r="C991" s="87"/>
      <c r="D991" s="56"/>
      <c r="E991" s="57"/>
      <c r="H991" s="57"/>
      <c r="I991" s="57"/>
    </row>
    <row r="992">
      <c r="A992" s="55"/>
      <c r="C992" s="87"/>
      <c r="D992" s="56"/>
      <c r="E992" s="57"/>
      <c r="H992" s="57"/>
      <c r="I992" s="57"/>
    </row>
    <row r="993">
      <c r="A993" s="55"/>
      <c r="C993" s="87"/>
      <c r="D993" s="56"/>
      <c r="E993" s="57"/>
      <c r="H993" s="57"/>
      <c r="I993" s="57"/>
    </row>
    <row r="994">
      <c r="A994" s="55"/>
      <c r="C994" s="87"/>
      <c r="D994" s="56"/>
      <c r="E994" s="57"/>
      <c r="H994" s="57"/>
      <c r="I994" s="57"/>
    </row>
    <row r="995">
      <c r="A995" s="55"/>
      <c r="C995" s="87"/>
      <c r="D995" s="56"/>
      <c r="E995" s="57"/>
      <c r="H995" s="57"/>
      <c r="I995" s="57"/>
    </row>
    <row r="996">
      <c r="A996" s="55"/>
      <c r="C996" s="87"/>
      <c r="D996" s="56"/>
      <c r="E996" s="57"/>
      <c r="H996" s="57"/>
      <c r="I996" s="57"/>
    </row>
    <row r="997">
      <c r="A997" s="55"/>
      <c r="C997" s="87"/>
      <c r="D997" s="56"/>
      <c r="E997" s="57"/>
      <c r="H997" s="57"/>
      <c r="I997" s="57"/>
    </row>
    <row r="998">
      <c r="A998" s="55"/>
      <c r="C998" s="87"/>
      <c r="D998" s="56"/>
      <c r="E998" s="57"/>
      <c r="H998" s="57"/>
      <c r="I998" s="57"/>
    </row>
    <row r="999">
      <c r="A999" s="55"/>
      <c r="C999" s="87"/>
      <c r="D999" s="56"/>
      <c r="E999" s="57"/>
      <c r="H999" s="57"/>
      <c r="I999" s="57"/>
    </row>
    <row r="1000">
      <c r="A1000" s="55"/>
      <c r="C1000" s="87"/>
      <c r="D1000" s="56"/>
      <c r="E1000" s="57"/>
      <c r="H1000" s="57"/>
      <c r="I1000" s="57"/>
    </row>
    <row r="1001">
      <c r="A1001" s="55"/>
      <c r="C1001" s="87"/>
      <c r="D1001" s="56"/>
      <c r="E1001" s="57"/>
      <c r="H1001" s="57"/>
      <c r="I1001" s="57"/>
    </row>
    <row r="1002">
      <c r="A1002" s="55"/>
      <c r="C1002" s="87"/>
      <c r="D1002" s="56"/>
      <c r="E1002" s="57"/>
      <c r="H1002" s="57"/>
      <c r="I1002" s="57"/>
    </row>
    <row r="1003">
      <c r="A1003" s="55"/>
      <c r="C1003" s="87"/>
      <c r="D1003" s="56"/>
      <c r="E1003" s="57"/>
      <c r="H1003" s="57"/>
      <c r="I1003" s="57"/>
    </row>
    <row r="1004">
      <c r="A1004" s="55"/>
      <c r="C1004" s="87"/>
      <c r="D1004" s="56"/>
      <c r="E1004" s="57"/>
      <c r="H1004" s="57"/>
      <c r="I1004" s="57"/>
    </row>
    <row r="1005">
      <c r="A1005" s="55"/>
      <c r="C1005" s="87"/>
      <c r="D1005" s="56"/>
      <c r="E1005" s="57"/>
      <c r="H1005" s="57"/>
      <c r="I1005" s="57"/>
    </row>
    <row r="1006">
      <c r="A1006" s="55"/>
      <c r="C1006" s="87"/>
      <c r="D1006" s="56"/>
      <c r="E1006" s="57"/>
      <c r="H1006" s="57"/>
      <c r="I1006" s="57"/>
    </row>
    <row r="1007">
      <c r="A1007" s="55"/>
      <c r="C1007" s="87"/>
      <c r="D1007" s="56"/>
      <c r="E1007" s="57"/>
      <c r="H1007" s="57"/>
      <c r="I1007" s="57"/>
    </row>
    <row r="1008">
      <c r="A1008" s="55"/>
      <c r="C1008" s="87"/>
      <c r="D1008" s="56"/>
      <c r="E1008" s="57"/>
      <c r="H1008" s="57"/>
      <c r="I1008" s="57"/>
    </row>
    <row r="1009">
      <c r="A1009" s="55"/>
      <c r="C1009" s="87"/>
      <c r="D1009" s="56"/>
      <c r="E1009" s="57"/>
      <c r="H1009" s="57"/>
      <c r="I1009" s="57"/>
    </row>
    <row r="1010">
      <c r="A1010" s="55"/>
      <c r="C1010" s="87"/>
      <c r="D1010" s="56"/>
      <c r="E1010" s="57"/>
      <c r="H1010" s="57"/>
      <c r="I1010" s="57"/>
    </row>
    <row r="1011">
      <c r="A1011" s="55"/>
      <c r="C1011" s="87"/>
      <c r="D1011" s="56"/>
      <c r="E1011" s="57"/>
      <c r="H1011" s="57"/>
      <c r="I1011" s="57"/>
    </row>
    <row r="1012">
      <c r="A1012" s="55"/>
      <c r="C1012" s="87"/>
      <c r="D1012" s="56"/>
      <c r="E1012" s="57"/>
      <c r="H1012" s="57"/>
      <c r="I1012" s="57"/>
    </row>
    <row r="1013">
      <c r="A1013" s="55"/>
      <c r="C1013" s="87"/>
      <c r="D1013" s="56"/>
      <c r="E1013" s="57"/>
      <c r="H1013" s="57"/>
      <c r="I1013" s="57"/>
    </row>
    <row r="1014">
      <c r="A1014" s="55"/>
      <c r="C1014" s="87"/>
      <c r="D1014" s="56"/>
      <c r="E1014" s="57"/>
      <c r="H1014" s="57"/>
      <c r="I1014" s="57"/>
    </row>
    <row r="1015">
      <c r="A1015" s="55"/>
      <c r="C1015" s="87"/>
      <c r="D1015" s="56"/>
      <c r="E1015" s="57"/>
      <c r="H1015" s="57"/>
      <c r="I1015" s="57"/>
    </row>
    <row r="1016">
      <c r="A1016" s="55"/>
      <c r="C1016" s="87"/>
      <c r="D1016" s="56"/>
      <c r="E1016" s="57"/>
      <c r="H1016" s="57"/>
      <c r="I1016" s="57"/>
    </row>
    <row r="1017">
      <c r="A1017" s="55"/>
      <c r="C1017" s="87"/>
      <c r="D1017" s="56"/>
      <c r="E1017" s="57"/>
      <c r="H1017" s="57"/>
      <c r="I1017" s="57"/>
    </row>
    <row r="1018">
      <c r="A1018" s="55"/>
      <c r="C1018" s="87"/>
      <c r="D1018" s="56"/>
      <c r="E1018" s="57"/>
      <c r="H1018" s="57"/>
      <c r="I1018" s="57"/>
    </row>
    <row r="1019">
      <c r="A1019" s="55"/>
      <c r="C1019" s="87"/>
      <c r="D1019" s="56"/>
      <c r="E1019" s="57"/>
      <c r="H1019" s="57"/>
      <c r="I1019" s="57"/>
    </row>
    <row r="1020">
      <c r="A1020" s="55"/>
      <c r="C1020" s="87"/>
      <c r="D1020" s="56"/>
      <c r="E1020" s="57"/>
      <c r="H1020" s="57"/>
      <c r="I1020" s="57"/>
    </row>
    <row r="1021">
      <c r="A1021" s="55"/>
      <c r="C1021" s="87"/>
      <c r="D1021" s="56"/>
      <c r="E1021" s="57"/>
      <c r="H1021" s="57"/>
      <c r="I1021" s="57"/>
    </row>
    <row r="1022">
      <c r="A1022" s="55"/>
      <c r="C1022" s="87"/>
      <c r="D1022" s="56"/>
      <c r="E1022" s="57"/>
      <c r="H1022" s="57"/>
      <c r="I1022" s="57"/>
    </row>
    <row r="1023">
      <c r="A1023" s="55"/>
      <c r="C1023" s="87"/>
      <c r="D1023" s="56"/>
      <c r="E1023" s="57"/>
      <c r="H1023" s="57"/>
      <c r="I1023" s="57"/>
    </row>
    <row r="1024">
      <c r="A1024" s="55"/>
      <c r="C1024" s="87"/>
      <c r="D1024" s="56"/>
      <c r="E1024" s="57"/>
      <c r="H1024" s="57"/>
      <c r="I1024" s="57"/>
    </row>
    <row r="1025">
      <c r="A1025" s="55"/>
      <c r="C1025" s="87"/>
      <c r="D1025" s="56"/>
      <c r="E1025" s="57"/>
      <c r="H1025" s="57"/>
      <c r="I1025" s="57"/>
    </row>
    <row r="1026">
      <c r="A1026" s="55"/>
      <c r="C1026" s="87"/>
      <c r="D1026" s="56"/>
      <c r="E1026" s="57"/>
      <c r="H1026" s="57"/>
      <c r="I1026" s="57"/>
    </row>
    <row r="1027">
      <c r="A1027" s="55"/>
      <c r="C1027" s="87"/>
      <c r="D1027" s="56"/>
      <c r="E1027" s="57"/>
      <c r="H1027" s="57"/>
      <c r="I1027" s="57"/>
    </row>
    <row r="1028">
      <c r="A1028" s="55"/>
      <c r="C1028" s="87"/>
      <c r="D1028" s="56"/>
      <c r="E1028" s="57"/>
      <c r="H1028" s="57"/>
      <c r="I1028" s="57"/>
    </row>
    <row r="1029">
      <c r="A1029" s="55"/>
      <c r="C1029" s="87"/>
      <c r="D1029" s="56"/>
      <c r="E1029" s="57"/>
      <c r="H1029" s="57"/>
      <c r="I1029" s="57"/>
    </row>
    <row r="1030">
      <c r="A1030" s="55"/>
      <c r="C1030" s="87"/>
      <c r="D1030" s="56"/>
      <c r="E1030" s="57"/>
      <c r="H1030" s="57"/>
      <c r="I1030" s="57"/>
    </row>
    <row r="1031">
      <c r="A1031" s="55"/>
      <c r="C1031" s="87"/>
      <c r="D1031" s="56"/>
      <c r="E1031" s="57"/>
      <c r="H1031" s="57"/>
      <c r="I1031" s="57"/>
    </row>
    <row r="1032">
      <c r="A1032" s="55"/>
      <c r="C1032" s="87"/>
      <c r="D1032" s="56"/>
      <c r="E1032" s="57"/>
      <c r="H1032" s="57"/>
      <c r="I1032" s="57"/>
    </row>
    <row r="1033">
      <c r="A1033" s="55"/>
      <c r="C1033" s="87"/>
      <c r="D1033" s="56"/>
      <c r="E1033" s="57"/>
      <c r="H1033" s="57"/>
      <c r="I1033" s="57"/>
    </row>
    <row r="1034">
      <c r="A1034" s="55"/>
      <c r="C1034" s="87"/>
      <c r="D1034" s="56"/>
      <c r="E1034" s="57"/>
      <c r="H1034" s="57"/>
      <c r="I1034" s="57"/>
    </row>
    <row r="1035">
      <c r="A1035" s="55"/>
      <c r="C1035" s="87"/>
      <c r="D1035" s="56"/>
      <c r="E1035" s="57"/>
      <c r="H1035" s="57"/>
      <c r="I1035" s="57"/>
    </row>
    <row r="1036">
      <c r="A1036" s="55"/>
      <c r="C1036" s="87"/>
      <c r="D1036" s="56"/>
      <c r="E1036" s="57"/>
      <c r="H1036" s="57"/>
      <c r="I1036" s="57"/>
    </row>
    <row r="1037">
      <c r="A1037" s="55"/>
      <c r="C1037" s="87"/>
      <c r="D1037" s="56"/>
      <c r="E1037" s="57"/>
      <c r="H1037" s="57"/>
      <c r="I1037" s="57"/>
    </row>
    <row r="1038">
      <c r="A1038" s="55"/>
      <c r="C1038" s="87"/>
      <c r="D1038" s="56"/>
      <c r="E1038" s="57"/>
      <c r="H1038" s="57"/>
      <c r="I1038" s="57"/>
    </row>
    <row r="1039">
      <c r="A1039" s="55"/>
      <c r="C1039" s="87"/>
      <c r="D1039" s="56"/>
      <c r="E1039" s="57"/>
      <c r="H1039" s="57"/>
      <c r="I1039" s="57"/>
    </row>
    <row r="1040">
      <c r="A1040" s="55"/>
      <c r="C1040" s="87"/>
      <c r="D1040" s="56"/>
      <c r="E1040" s="57"/>
      <c r="H1040" s="57"/>
      <c r="I1040" s="57"/>
    </row>
    <row r="1041">
      <c r="A1041" s="55"/>
      <c r="C1041" s="87"/>
      <c r="D1041" s="56"/>
      <c r="E1041" s="57"/>
      <c r="H1041" s="57"/>
      <c r="I1041" s="57"/>
    </row>
    <row r="1042">
      <c r="A1042" s="55"/>
      <c r="C1042" s="87"/>
      <c r="D1042" s="56"/>
      <c r="E1042" s="57"/>
      <c r="H1042" s="57"/>
      <c r="I1042" s="57"/>
    </row>
    <row r="1043">
      <c r="A1043" s="55"/>
      <c r="C1043" s="87"/>
      <c r="D1043" s="56"/>
      <c r="E1043" s="57"/>
      <c r="H1043" s="57"/>
      <c r="I1043" s="57"/>
    </row>
    <row r="1044">
      <c r="A1044" s="55"/>
      <c r="C1044" s="87"/>
      <c r="D1044" s="56"/>
      <c r="E1044" s="57"/>
      <c r="H1044" s="57"/>
      <c r="I1044" s="57"/>
    </row>
    <row r="1045">
      <c r="A1045" s="55"/>
      <c r="C1045" s="87"/>
      <c r="D1045" s="56"/>
      <c r="E1045" s="57"/>
      <c r="H1045" s="57"/>
      <c r="I1045" s="57"/>
    </row>
    <row r="1046">
      <c r="A1046" s="55"/>
      <c r="C1046" s="55"/>
      <c r="D1046" s="57"/>
      <c r="E1046" s="57"/>
      <c r="H1046" s="57"/>
      <c r="I1046" s="57"/>
    </row>
  </sheetData>
  <mergeCells count="2">
    <mergeCell ref="K2:K4"/>
    <mergeCell ref="L2:L4"/>
  </mergeCells>
  <dataValidations>
    <dataValidation type="list" allowBlank="1" showErrorMessage="1" sqref="B2:B91">
      <formula1>"Transaction_MoMo,Data,Airtime,DLS ONLINE,Promotion"</formula1>
    </dataValidation>
    <dataValidation type="list" allowBlank="1" showErrorMessage="1" sqref="C2:C91">
      <formula1>"Duyệt,Kiểm tra lại,Không duyệt"</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29.5"/>
    <col customWidth="1" min="3" max="3" width="28.75"/>
    <col customWidth="1" min="4" max="4" width="95.25"/>
    <col customWidth="1" min="5" max="5" width="23.88"/>
    <col customWidth="1" min="6" max="6" width="48.25"/>
    <col customWidth="1" hidden="1" min="7" max="7" width="39.13"/>
    <col customWidth="1" hidden="1" min="8" max="8" width="39.5"/>
    <col customWidth="1" hidden="1" min="9" max="9" width="49.88"/>
    <col customWidth="1" hidden="1" min="10" max="10" width="52.63"/>
    <col customWidth="1" min="13" max="13" width="69.13"/>
  </cols>
  <sheetData>
    <row r="1" ht="37.5" customHeight="1">
      <c r="A1" s="13" t="s">
        <v>27</v>
      </c>
      <c r="B1" s="12" t="s">
        <v>361</v>
      </c>
      <c r="C1" s="14" t="s">
        <v>28</v>
      </c>
      <c r="D1" s="12" t="s">
        <v>29</v>
      </c>
      <c r="E1" s="12" t="s">
        <v>461</v>
      </c>
      <c r="F1" s="12" t="s">
        <v>30</v>
      </c>
      <c r="G1" s="77" t="s">
        <v>31</v>
      </c>
      <c r="H1" s="77" t="s">
        <v>32</v>
      </c>
      <c r="I1" s="77" t="s">
        <v>33</v>
      </c>
      <c r="J1" s="77" t="s">
        <v>34</v>
      </c>
      <c r="L1" s="78" t="s">
        <v>362</v>
      </c>
      <c r="M1" s="79" t="s">
        <v>462</v>
      </c>
    </row>
    <row r="2" ht="60.0" customHeight="1">
      <c r="A2" s="16"/>
      <c r="B2" s="16" t="s">
        <v>463</v>
      </c>
      <c r="C2" s="17" t="s">
        <v>205</v>
      </c>
      <c r="D2" s="18" t="s">
        <v>464</v>
      </c>
      <c r="E2" s="16" t="s">
        <v>465</v>
      </c>
      <c r="F2" s="19"/>
      <c r="G2" s="27" t="s">
        <v>53</v>
      </c>
      <c r="H2" s="28" t="s">
        <v>54</v>
      </c>
      <c r="I2" s="29" t="s">
        <v>55</v>
      </c>
      <c r="J2" s="23" t="s">
        <v>56</v>
      </c>
      <c r="M2" s="79" t="s">
        <v>466</v>
      </c>
    </row>
    <row r="3" ht="60.0" customHeight="1">
      <c r="A3" s="16"/>
      <c r="B3" s="16" t="s">
        <v>463</v>
      </c>
      <c r="C3" s="17" t="s">
        <v>205</v>
      </c>
      <c r="D3" s="18" t="s">
        <v>467</v>
      </c>
      <c r="E3" s="16" t="s">
        <v>465</v>
      </c>
      <c r="F3" s="18"/>
      <c r="G3" s="30" t="s">
        <v>61</v>
      </c>
      <c r="H3" s="31" t="s">
        <v>62</v>
      </c>
      <c r="I3" s="32" t="s">
        <v>63</v>
      </c>
      <c r="J3" s="23" t="s">
        <v>64</v>
      </c>
      <c r="M3" s="79" t="s">
        <v>468</v>
      </c>
    </row>
    <row r="4" ht="60.0" customHeight="1">
      <c r="A4" s="16"/>
      <c r="B4" s="16" t="s">
        <v>463</v>
      </c>
      <c r="C4" s="17" t="s">
        <v>205</v>
      </c>
      <c r="D4" s="18" t="s">
        <v>469</v>
      </c>
      <c r="E4" s="16" t="s">
        <v>465</v>
      </c>
      <c r="F4" s="19"/>
      <c r="G4" s="27" t="s">
        <v>68</v>
      </c>
      <c r="H4" s="28" t="s">
        <v>69</v>
      </c>
      <c r="I4" s="29" t="s">
        <v>70</v>
      </c>
      <c r="J4" s="23" t="s">
        <v>71</v>
      </c>
    </row>
    <row r="5" ht="60.0" customHeight="1">
      <c r="A5" s="16"/>
      <c r="B5" s="16" t="s">
        <v>470</v>
      </c>
      <c r="C5" s="17" t="s">
        <v>205</v>
      </c>
      <c r="D5" s="18" t="s">
        <v>471</v>
      </c>
      <c r="E5" s="16" t="s">
        <v>472</v>
      </c>
      <c r="F5" s="19"/>
      <c r="G5" s="30" t="s">
        <v>76</v>
      </c>
      <c r="H5" s="31" t="s">
        <v>77</v>
      </c>
      <c r="I5" s="32" t="s">
        <v>78</v>
      </c>
      <c r="J5" s="23" t="s">
        <v>79</v>
      </c>
    </row>
    <row r="6" ht="60.0" customHeight="1">
      <c r="A6" s="16"/>
      <c r="B6" s="16" t="s">
        <v>470</v>
      </c>
      <c r="C6" s="17" t="s">
        <v>205</v>
      </c>
      <c r="D6" s="33" t="s">
        <v>473</v>
      </c>
      <c r="E6" s="16" t="s">
        <v>472</v>
      </c>
      <c r="F6" s="34"/>
      <c r="G6" s="35" t="s">
        <v>84</v>
      </c>
      <c r="H6" s="35" t="s">
        <v>85</v>
      </c>
      <c r="I6" s="33" t="s">
        <v>86</v>
      </c>
      <c r="J6" s="23" t="s">
        <v>87</v>
      </c>
      <c r="M6" s="15"/>
    </row>
    <row r="7" ht="60.0" customHeight="1">
      <c r="A7" s="16"/>
      <c r="B7" s="16" t="s">
        <v>470</v>
      </c>
      <c r="C7" s="17" t="s">
        <v>205</v>
      </c>
      <c r="D7" s="33" t="s">
        <v>474</v>
      </c>
      <c r="E7" s="16" t="s">
        <v>472</v>
      </c>
      <c r="F7" s="34"/>
      <c r="G7" s="35" t="s">
        <v>92</v>
      </c>
      <c r="H7" s="35" t="s">
        <v>93</v>
      </c>
      <c r="I7" s="33" t="s">
        <v>94</v>
      </c>
      <c r="J7" s="23" t="s">
        <v>95</v>
      </c>
      <c r="L7" s="78" t="s">
        <v>377</v>
      </c>
      <c r="M7" s="79" t="s">
        <v>475</v>
      </c>
    </row>
    <row r="8" ht="60.0" customHeight="1">
      <c r="A8" s="16"/>
      <c r="B8" s="16" t="s">
        <v>476</v>
      </c>
      <c r="C8" s="17" t="s">
        <v>205</v>
      </c>
      <c r="D8" s="33" t="s">
        <v>477</v>
      </c>
      <c r="E8" s="16" t="s">
        <v>478</v>
      </c>
      <c r="F8" s="34"/>
      <c r="G8" s="35" t="s">
        <v>100</v>
      </c>
      <c r="H8" s="35" t="s">
        <v>101</v>
      </c>
      <c r="I8" s="33" t="s">
        <v>102</v>
      </c>
      <c r="J8" s="23" t="s">
        <v>103</v>
      </c>
      <c r="M8" s="15"/>
    </row>
    <row r="9" ht="60.0" customHeight="1">
      <c r="A9" s="16"/>
      <c r="B9" s="16" t="s">
        <v>476</v>
      </c>
      <c r="C9" s="17" t="s">
        <v>205</v>
      </c>
      <c r="D9" s="33" t="s">
        <v>479</v>
      </c>
      <c r="E9" s="16" t="s">
        <v>478</v>
      </c>
      <c r="F9" s="34"/>
      <c r="G9" s="35" t="s">
        <v>108</v>
      </c>
      <c r="H9" s="35" t="s">
        <v>109</v>
      </c>
      <c r="I9" s="33" t="s">
        <v>110</v>
      </c>
      <c r="J9" s="23" t="s">
        <v>111</v>
      </c>
      <c r="M9" s="15"/>
    </row>
    <row r="10" ht="60.0" customHeight="1">
      <c r="A10" s="16"/>
      <c r="B10" s="16"/>
      <c r="C10" s="17" t="s">
        <v>205</v>
      </c>
      <c r="D10" s="33" t="s">
        <v>480</v>
      </c>
      <c r="E10" s="16" t="s">
        <v>478</v>
      </c>
      <c r="F10" s="34"/>
      <c r="G10" s="35" t="s">
        <v>116</v>
      </c>
      <c r="H10" s="35" t="s">
        <v>117</v>
      </c>
      <c r="I10" s="33" t="s">
        <v>118</v>
      </c>
      <c r="J10" s="23" t="s">
        <v>119</v>
      </c>
      <c r="M10" s="15"/>
    </row>
    <row r="11" ht="60.0" customHeight="1">
      <c r="A11" s="16"/>
      <c r="B11" s="16"/>
      <c r="C11" s="17" t="s">
        <v>205</v>
      </c>
      <c r="D11" s="33" t="s">
        <v>481</v>
      </c>
      <c r="E11" s="16" t="s">
        <v>478</v>
      </c>
      <c r="F11" s="34"/>
      <c r="G11" s="35" t="s">
        <v>124</v>
      </c>
      <c r="H11" s="35" t="s">
        <v>125</v>
      </c>
      <c r="I11" s="33" t="s">
        <v>126</v>
      </c>
      <c r="J11" s="23" t="s">
        <v>127</v>
      </c>
      <c r="M11" s="15"/>
    </row>
    <row r="12" ht="60.0" customHeight="1">
      <c r="A12" s="16"/>
      <c r="B12" s="16"/>
      <c r="C12" s="17" t="s">
        <v>205</v>
      </c>
      <c r="D12" s="33" t="s">
        <v>482</v>
      </c>
      <c r="E12" s="16" t="s">
        <v>478</v>
      </c>
      <c r="F12" s="33"/>
      <c r="G12" s="35" t="s">
        <v>133</v>
      </c>
      <c r="H12" s="35" t="s">
        <v>134</v>
      </c>
      <c r="I12" s="33" t="s">
        <v>135</v>
      </c>
      <c r="J12" s="23" t="s">
        <v>136</v>
      </c>
      <c r="M12" s="15"/>
    </row>
    <row r="13" ht="60.0" customHeight="1">
      <c r="A13" s="16"/>
      <c r="B13" s="16"/>
      <c r="C13" s="17" t="s">
        <v>205</v>
      </c>
      <c r="D13" s="33" t="s">
        <v>483</v>
      </c>
      <c r="E13" s="16" t="s">
        <v>478</v>
      </c>
      <c r="F13" s="33"/>
      <c r="G13" s="35" t="s">
        <v>143</v>
      </c>
      <c r="H13" s="35" t="s">
        <v>144</v>
      </c>
      <c r="I13" s="33" t="s">
        <v>145</v>
      </c>
      <c r="J13" s="23" t="s">
        <v>146</v>
      </c>
      <c r="M13" s="15"/>
    </row>
    <row r="14" ht="60.0" customHeight="1">
      <c r="A14" s="16"/>
      <c r="B14" s="16"/>
      <c r="C14" s="17" t="s">
        <v>205</v>
      </c>
      <c r="D14" s="33" t="s">
        <v>484</v>
      </c>
      <c r="E14" s="16" t="s">
        <v>478</v>
      </c>
      <c r="F14" s="33"/>
      <c r="G14" s="73" t="s">
        <v>349</v>
      </c>
      <c r="H14" s="44" t="s">
        <v>350</v>
      </c>
      <c r="I14" s="74" t="s">
        <v>351</v>
      </c>
      <c r="J14" s="23" t="s">
        <v>352</v>
      </c>
      <c r="M14" s="15"/>
    </row>
    <row r="15" ht="60.0" customHeight="1">
      <c r="A15" s="16"/>
      <c r="B15" s="16"/>
      <c r="C15" s="17" t="s">
        <v>205</v>
      </c>
      <c r="D15" s="33" t="s">
        <v>485</v>
      </c>
      <c r="E15" s="16" t="s">
        <v>478</v>
      </c>
      <c r="F15" s="33"/>
      <c r="G15" s="75" t="s">
        <v>356</v>
      </c>
      <c r="H15" s="47" t="s">
        <v>357</v>
      </c>
      <c r="I15" s="76" t="s">
        <v>358</v>
      </c>
      <c r="J15" s="23" t="s">
        <v>359</v>
      </c>
      <c r="M15" s="15"/>
    </row>
    <row r="16" ht="60.0" customHeight="1">
      <c r="A16" s="16"/>
      <c r="B16" s="16"/>
      <c r="C16" s="17" t="s">
        <v>205</v>
      </c>
      <c r="D16" s="37" t="s">
        <v>486</v>
      </c>
      <c r="E16" s="16" t="s">
        <v>478</v>
      </c>
      <c r="F16" s="38"/>
      <c r="G16" s="39" t="s">
        <v>153</v>
      </c>
      <c r="H16" s="39" t="s">
        <v>154</v>
      </c>
      <c r="I16" s="23" t="s">
        <v>155</v>
      </c>
      <c r="J16" s="23" t="s">
        <v>156</v>
      </c>
      <c r="M16" s="15"/>
    </row>
    <row r="17" ht="60.0" customHeight="1">
      <c r="A17" s="16"/>
      <c r="B17" s="16"/>
      <c r="C17" s="17" t="s">
        <v>205</v>
      </c>
      <c r="D17" s="37" t="s">
        <v>487</v>
      </c>
      <c r="E17" s="16" t="s">
        <v>478</v>
      </c>
      <c r="F17" s="38"/>
      <c r="G17" s="39" t="s">
        <v>163</v>
      </c>
      <c r="H17" s="39" t="s">
        <v>164</v>
      </c>
      <c r="I17" s="23" t="s">
        <v>165</v>
      </c>
      <c r="J17" s="23" t="s">
        <v>166</v>
      </c>
      <c r="M17" s="15"/>
    </row>
    <row r="18" ht="60.0" customHeight="1">
      <c r="A18" s="16"/>
      <c r="B18" s="16"/>
      <c r="C18" s="17" t="s">
        <v>205</v>
      </c>
      <c r="D18" s="37" t="s">
        <v>488</v>
      </c>
      <c r="E18" s="16" t="s">
        <v>478</v>
      </c>
      <c r="F18" s="38"/>
      <c r="G18" s="39" t="s">
        <v>338</v>
      </c>
      <c r="H18" s="39" t="s">
        <v>339</v>
      </c>
      <c r="I18" s="23" t="s">
        <v>340</v>
      </c>
      <c r="J18" s="23" t="s">
        <v>341</v>
      </c>
      <c r="M18" s="15"/>
    </row>
    <row r="19" ht="60.0" customHeight="1">
      <c r="A19" s="16"/>
      <c r="B19" s="16"/>
      <c r="C19" s="17" t="s">
        <v>205</v>
      </c>
      <c r="D19" s="37" t="s">
        <v>489</v>
      </c>
      <c r="E19" s="16" t="s">
        <v>478</v>
      </c>
      <c r="F19" s="38"/>
      <c r="G19" s="39" t="s">
        <v>171</v>
      </c>
      <c r="H19" s="39" t="s">
        <v>172</v>
      </c>
      <c r="I19" s="23" t="s">
        <v>173</v>
      </c>
      <c r="J19" s="23" t="s">
        <v>174</v>
      </c>
      <c r="M19" s="15"/>
    </row>
    <row r="20" ht="60.0" customHeight="1">
      <c r="A20" s="16"/>
      <c r="B20" s="16"/>
      <c r="C20" s="17" t="s">
        <v>205</v>
      </c>
      <c r="D20" s="37" t="s">
        <v>490</v>
      </c>
      <c r="E20" s="16" t="s">
        <v>478</v>
      </c>
      <c r="F20" s="23"/>
      <c r="G20" s="39" t="s">
        <v>180</v>
      </c>
      <c r="H20" s="39" t="s">
        <v>181</v>
      </c>
      <c r="I20" s="23" t="s">
        <v>182</v>
      </c>
      <c r="J20" s="23" t="s">
        <v>183</v>
      </c>
      <c r="M20" s="15"/>
    </row>
    <row r="21" ht="60.0" customHeight="1">
      <c r="A21" s="16"/>
      <c r="B21" s="16"/>
      <c r="C21" s="17" t="s">
        <v>205</v>
      </c>
      <c r="D21" s="37" t="s">
        <v>491</v>
      </c>
      <c r="E21" s="16" t="s">
        <v>478</v>
      </c>
      <c r="F21" s="38"/>
      <c r="G21" s="39"/>
      <c r="H21" s="39"/>
      <c r="I21" s="23"/>
      <c r="J21" s="23"/>
      <c r="M21" s="15"/>
    </row>
    <row r="22" ht="60.0" customHeight="1">
      <c r="A22" s="36"/>
      <c r="B22" s="36"/>
      <c r="C22" s="17" t="s">
        <v>205</v>
      </c>
      <c r="D22" s="37" t="s">
        <v>492</v>
      </c>
      <c r="E22" s="36" t="s">
        <v>478</v>
      </c>
      <c r="F22" s="38"/>
      <c r="G22" s="41"/>
      <c r="H22" s="41"/>
      <c r="I22" s="42"/>
      <c r="J22" s="38"/>
      <c r="M22" s="15"/>
    </row>
    <row r="23" ht="60.0" customHeight="1">
      <c r="A23" s="36"/>
      <c r="B23" s="36"/>
      <c r="C23" s="17" t="s">
        <v>205</v>
      </c>
      <c r="D23" s="37" t="s">
        <v>493</v>
      </c>
      <c r="E23" s="36" t="s">
        <v>478</v>
      </c>
      <c r="F23" s="38"/>
      <c r="G23" s="41"/>
      <c r="H23" s="41"/>
      <c r="I23" s="42"/>
      <c r="J23" s="38"/>
      <c r="M23" s="15"/>
    </row>
    <row r="24" ht="60.0" customHeight="1">
      <c r="A24" s="36"/>
      <c r="B24" s="36"/>
      <c r="C24" s="17" t="s">
        <v>205</v>
      </c>
      <c r="D24" s="37" t="s">
        <v>494</v>
      </c>
      <c r="E24" s="36" t="s">
        <v>478</v>
      </c>
      <c r="F24" s="38"/>
      <c r="G24" s="41"/>
      <c r="H24" s="41"/>
      <c r="I24" s="42"/>
      <c r="J24" s="38"/>
      <c r="M24" s="15"/>
    </row>
    <row r="25" ht="60.0" customHeight="1">
      <c r="A25" s="36"/>
      <c r="B25" s="36"/>
      <c r="C25" s="17" t="s">
        <v>205</v>
      </c>
      <c r="D25" s="37" t="s">
        <v>495</v>
      </c>
      <c r="E25" s="36" t="s">
        <v>478</v>
      </c>
      <c r="F25" s="38"/>
      <c r="G25" s="41"/>
      <c r="H25" s="41"/>
      <c r="I25" s="42"/>
      <c r="J25" s="38"/>
      <c r="M25" s="15"/>
    </row>
    <row r="26" ht="60.0" customHeight="1">
      <c r="A26" s="36"/>
      <c r="B26" s="36"/>
      <c r="C26" s="17" t="s">
        <v>205</v>
      </c>
      <c r="D26" s="37" t="s">
        <v>496</v>
      </c>
      <c r="E26" s="36" t="s">
        <v>478</v>
      </c>
      <c r="F26" s="38"/>
      <c r="G26" s="41"/>
      <c r="H26" s="41"/>
      <c r="I26" s="42"/>
      <c r="J26" s="38"/>
      <c r="M26" s="15"/>
    </row>
    <row r="27" ht="60.0" customHeight="1">
      <c r="A27" s="36"/>
      <c r="B27" s="36"/>
      <c r="C27" s="17" t="s">
        <v>205</v>
      </c>
      <c r="D27" s="37" t="s">
        <v>497</v>
      </c>
      <c r="E27" s="36" t="s">
        <v>478</v>
      </c>
      <c r="F27" s="38"/>
      <c r="G27" s="41"/>
      <c r="H27" s="41"/>
      <c r="I27" s="42"/>
      <c r="J27" s="38"/>
      <c r="M27" s="15"/>
    </row>
    <row r="28" ht="60.0" customHeight="1">
      <c r="A28" s="48"/>
      <c r="B28" s="48"/>
      <c r="C28" s="17" t="s">
        <v>205</v>
      </c>
      <c r="D28" s="35" t="s">
        <v>498</v>
      </c>
      <c r="E28" s="48" t="s">
        <v>478</v>
      </c>
      <c r="F28" s="38"/>
      <c r="G28" s="41"/>
      <c r="H28" s="41"/>
      <c r="I28" s="42"/>
      <c r="J28" s="38"/>
      <c r="M28" s="15"/>
    </row>
    <row r="29" ht="60.0" customHeight="1">
      <c r="A29" s="48"/>
      <c r="B29" s="48"/>
      <c r="C29" s="17" t="s">
        <v>205</v>
      </c>
      <c r="D29" s="35" t="s">
        <v>499</v>
      </c>
      <c r="E29" s="48" t="s">
        <v>478</v>
      </c>
      <c r="F29" s="38"/>
      <c r="G29" s="41"/>
      <c r="H29" s="41"/>
      <c r="I29" s="42"/>
      <c r="J29" s="38"/>
      <c r="M29" s="15"/>
    </row>
    <row r="30" ht="60.0" customHeight="1">
      <c r="A30" s="48"/>
      <c r="B30" s="48"/>
      <c r="C30" s="17" t="s">
        <v>205</v>
      </c>
      <c r="D30" s="35" t="s">
        <v>500</v>
      </c>
      <c r="E30" s="48" t="s">
        <v>478</v>
      </c>
      <c r="F30" s="38"/>
      <c r="G30" s="41"/>
      <c r="H30" s="41"/>
      <c r="I30" s="42"/>
      <c r="J30" s="38"/>
      <c r="M30" s="15"/>
    </row>
    <row r="31" ht="60.0" customHeight="1">
      <c r="A31" s="48"/>
      <c r="B31" s="48"/>
      <c r="C31" s="17" t="s">
        <v>205</v>
      </c>
      <c r="D31" s="35" t="s">
        <v>501</v>
      </c>
      <c r="E31" s="48" t="s">
        <v>478</v>
      </c>
      <c r="F31" s="38"/>
      <c r="G31" s="41"/>
      <c r="H31" s="41"/>
      <c r="I31" s="42"/>
      <c r="J31" s="38"/>
      <c r="M31" s="15"/>
    </row>
    <row r="32" ht="60.0" customHeight="1">
      <c r="A32" s="48"/>
      <c r="B32" s="48"/>
      <c r="C32" s="17" t="s">
        <v>205</v>
      </c>
      <c r="D32" s="35" t="s">
        <v>502</v>
      </c>
      <c r="E32" s="48" t="s">
        <v>478</v>
      </c>
      <c r="F32" s="38"/>
      <c r="G32" s="41"/>
      <c r="H32" s="41"/>
      <c r="I32" s="42"/>
      <c r="J32" s="38"/>
      <c r="M32" s="15"/>
    </row>
    <row r="33" ht="60.0" customHeight="1">
      <c r="A33" s="48"/>
      <c r="B33" s="48"/>
      <c r="C33" s="17" t="s">
        <v>205</v>
      </c>
      <c r="D33" s="35" t="s">
        <v>503</v>
      </c>
      <c r="E33" s="48" t="s">
        <v>478</v>
      </c>
      <c r="F33" s="38"/>
      <c r="G33" s="41"/>
      <c r="H33" s="41"/>
      <c r="I33" s="42"/>
      <c r="J33" s="38"/>
      <c r="M33" s="15"/>
    </row>
    <row r="34" ht="60.0" customHeight="1">
      <c r="A34" s="48"/>
      <c r="B34" s="48"/>
      <c r="C34" s="17" t="s">
        <v>205</v>
      </c>
      <c r="D34" s="35" t="s">
        <v>504</v>
      </c>
      <c r="E34" s="48" t="s">
        <v>478</v>
      </c>
      <c r="F34" s="38"/>
      <c r="G34" s="41"/>
      <c r="H34" s="41"/>
      <c r="I34" s="42"/>
      <c r="J34" s="38"/>
      <c r="M34" s="15"/>
    </row>
    <row r="35" ht="60.0" customHeight="1">
      <c r="A35" s="48"/>
      <c r="B35" s="48"/>
      <c r="C35" s="17" t="s">
        <v>205</v>
      </c>
      <c r="D35" s="35" t="s">
        <v>505</v>
      </c>
      <c r="E35" s="48" t="s">
        <v>478</v>
      </c>
      <c r="F35" s="38"/>
      <c r="G35" s="41"/>
      <c r="H35" s="41"/>
      <c r="I35" s="42"/>
      <c r="J35" s="38"/>
      <c r="M35" s="15"/>
    </row>
    <row r="36" ht="60.0" customHeight="1">
      <c r="A36" s="48"/>
      <c r="B36" s="48"/>
      <c r="C36" s="17" t="s">
        <v>205</v>
      </c>
      <c r="D36" s="35" t="s">
        <v>506</v>
      </c>
      <c r="E36" s="48" t="s">
        <v>478</v>
      </c>
      <c r="F36" s="38"/>
      <c r="G36" s="41"/>
      <c r="H36" s="41"/>
      <c r="I36" s="42"/>
      <c r="J36" s="38"/>
      <c r="M36" s="15"/>
    </row>
    <row r="37" ht="60.0" customHeight="1">
      <c r="A37" s="48"/>
      <c r="B37" s="48"/>
      <c r="C37" s="17" t="s">
        <v>205</v>
      </c>
      <c r="D37" s="35" t="s">
        <v>507</v>
      </c>
      <c r="E37" s="48" t="s">
        <v>478</v>
      </c>
      <c r="F37" s="38"/>
      <c r="G37" s="41"/>
      <c r="H37" s="41"/>
      <c r="I37" s="42"/>
      <c r="J37" s="38"/>
      <c r="M37" s="15"/>
    </row>
    <row r="38" ht="60.0" customHeight="1">
      <c r="A38" s="48"/>
      <c r="B38" s="48"/>
      <c r="C38" s="17" t="s">
        <v>205</v>
      </c>
      <c r="D38" s="35" t="s">
        <v>508</v>
      </c>
      <c r="E38" s="48" t="s">
        <v>478</v>
      </c>
      <c r="F38" s="38"/>
      <c r="G38" s="41"/>
      <c r="H38" s="41"/>
      <c r="I38" s="42"/>
      <c r="J38" s="38"/>
      <c r="M38" s="15"/>
    </row>
    <row r="39" ht="60.0" customHeight="1">
      <c r="A39" s="48"/>
      <c r="B39" s="48"/>
      <c r="C39" s="17" t="s">
        <v>205</v>
      </c>
      <c r="D39" s="35" t="s">
        <v>509</v>
      </c>
      <c r="E39" s="48" t="s">
        <v>478</v>
      </c>
      <c r="F39" s="38"/>
      <c r="G39" s="41"/>
      <c r="H39" s="41"/>
      <c r="I39" s="42"/>
      <c r="J39" s="38"/>
      <c r="M39" s="15"/>
    </row>
    <row r="40" ht="60.0" customHeight="1">
      <c r="A40" s="48"/>
      <c r="B40" s="48"/>
      <c r="C40" s="17" t="s">
        <v>205</v>
      </c>
      <c r="D40" s="35" t="s">
        <v>510</v>
      </c>
      <c r="E40" s="48" t="s">
        <v>478</v>
      </c>
      <c r="F40" s="38"/>
      <c r="G40" s="41"/>
      <c r="H40" s="41"/>
      <c r="I40" s="42"/>
      <c r="J40" s="38"/>
      <c r="M40" s="15"/>
    </row>
    <row r="41" ht="60.0" customHeight="1">
      <c r="A41" s="48"/>
      <c r="B41" s="48" t="s">
        <v>511</v>
      </c>
      <c r="C41" s="17" t="s">
        <v>205</v>
      </c>
      <c r="D41" s="35" t="s">
        <v>512</v>
      </c>
      <c r="E41" s="48" t="s">
        <v>478</v>
      </c>
      <c r="F41" s="38"/>
      <c r="G41" s="41"/>
      <c r="H41" s="41"/>
      <c r="I41" s="42"/>
      <c r="J41" s="38"/>
      <c r="M41" s="15"/>
    </row>
    <row r="42" ht="60.0" customHeight="1">
      <c r="A42" s="48"/>
      <c r="B42" s="48"/>
      <c r="C42" s="17" t="s">
        <v>205</v>
      </c>
      <c r="D42" s="35" t="s">
        <v>513</v>
      </c>
      <c r="E42" s="48" t="s">
        <v>478</v>
      </c>
      <c r="F42" s="38"/>
      <c r="G42" s="41"/>
      <c r="H42" s="41"/>
      <c r="I42" s="51"/>
      <c r="J42" s="38"/>
      <c r="M42" s="15"/>
    </row>
    <row r="43" ht="60.0" customHeight="1">
      <c r="A43" s="48"/>
      <c r="B43" s="48" t="s">
        <v>514</v>
      </c>
      <c r="C43" s="17" t="s">
        <v>205</v>
      </c>
      <c r="D43" s="35" t="s">
        <v>515</v>
      </c>
      <c r="E43" s="48" t="s">
        <v>478</v>
      </c>
      <c r="F43" s="38"/>
      <c r="I43" s="85"/>
      <c r="J43" s="57"/>
      <c r="M43" s="15"/>
    </row>
    <row r="44" ht="60.0" customHeight="1">
      <c r="A44" s="48"/>
      <c r="B44" s="48"/>
      <c r="C44" s="17" t="s">
        <v>205</v>
      </c>
      <c r="D44" s="35" t="s">
        <v>516</v>
      </c>
      <c r="E44" s="48" t="s">
        <v>478</v>
      </c>
      <c r="F44" s="38"/>
      <c r="I44" s="85"/>
      <c r="J44" s="57"/>
      <c r="M44" s="15"/>
    </row>
    <row r="45" ht="60.0" customHeight="1">
      <c r="A45" s="48"/>
      <c r="B45" s="48"/>
      <c r="C45" s="17" t="s">
        <v>205</v>
      </c>
      <c r="D45" s="35" t="s">
        <v>517</v>
      </c>
      <c r="E45" s="48" t="s">
        <v>478</v>
      </c>
      <c r="F45" s="38"/>
      <c r="I45" s="85"/>
      <c r="J45" s="57"/>
      <c r="M45" s="15"/>
    </row>
    <row r="46" ht="60.0" customHeight="1">
      <c r="A46" s="48"/>
      <c r="B46" s="48"/>
      <c r="C46" s="17" t="s">
        <v>205</v>
      </c>
      <c r="D46" s="35" t="s">
        <v>518</v>
      </c>
      <c r="E46" s="48" t="s">
        <v>478</v>
      </c>
      <c r="F46" s="38"/>
      <c r="I46" s="85"/>
      <c r="J46" s="57"/>
      <c r="M46" s="15"/>
    </row>
    <row r="47" ht="60.0" customHeight="1">
      <c r="A47" s="48"/>
      <c r="B47" s="48"/>
      <c r="C47" s="17" t="s">
        <v>205</v>
      </c>
      <c r="D47" s="35" t="s">
        <v>519</v>
      </c>
      <c r="E47" s="48" t="s">
        <v>478</v>
      </c>
      <c r="F47" s="38"/>
      <c r="I47" s="85"/>
      <c r="J47" s="57"/>
      <c r="M47" s="15"/>
    </row>
    <row r="48" ht="60.0" customHeight="1">
      <c r="A48" s="48"/>
      <c r="B48" s="48"/>
      <c r="C48" s="17" t="s">
        <v>205</v>
      </c>
      <c r="D48" s="35" t="s">
        <v>520</v>
      </c>
      <c r="E48" s="48" t="s">
        <v>478</v>
      </c>
      <c r="F48" s="38"/>
      <c r="I48" s="85"/>
      <c r="J48" s="57"/>
      <c r="M48" s="15"/>
    </row>
    <row r="49" ht="60.0" customHeight="1">
      <c r="A49" s="48"/>
      <c r="B49" s="48"/>
      <c r="C49" s="17" t="s">
        <v>205</v>
      </c>
      <c r="D49" s="35" t="s">
        <v>521</v>
      </c>
      <c r="E49" s="48" t="s">
        <v>478</v>
      </c>
      <c r="F49" s="38"/>
      <c r="I49" s="85"/>
      <c r="J49" s="57"/>
      <c r="M49" s="15"/>
    </row>
    <row r="50" ht="60.0" customHeight="1">
      <c r="A50" s="48"/>
      <c r="B50" s="48"/>
      <c r="C50" s="17" t="s">
        <v>205</v>
      </c>
      <c r="D50" s="35" t="s">
        <v>522</v>
      </c>
      <c r="E50" s="48" t="s">
        <v>478</v>
      </c>
      <c r="F50" s="38"/>
      <c r="I50" s="85"/>
      <c r="J50" s="57"/>
      <c r="M50" s="15"/>
    </row>
    <row r="51" ht="60.0" customHeight="1">
      <c r="A51" s="48"/>
      <c r="B51" s="48"/>
      <c r="C51" s="17" t="s">
        <v>205</v>
      </c>
      <c r="D51" s="35" t="s">
        <v>523</v>
      </c>
      <c r="E51" s="48" t="s">
        <v>478</v>
      </c>
      <c r="F51" s="38"/>
      <c r="I51" s="85"/>
      <c r="J51" s="57"/>
      <c r="M51" s="15"/>
    </row>
    <row r="52" ht="60.0" customHeight="1">
      <c r="A52" s="48"/>
      <c r="B52" s="48"/>
      <c r="C52" s="17" t="s">
        <v>205</v>
      </c>
      <c r="D52" s="35" t="s">
        <v>524</v>
      </c>
      <c r="E52" s="48" t="s">
        <v>478</v>
      </c>
      <c r="F52" s="38"/>
      <c r="I52" s="85"/>
      <c r="J52" s="57"/>
      <c r="M52" s="15"/>
    </row>
    <row r="53" ht="60.0" customHeight="1">
      <c r="A53" s="48"/>
      <c r="B53" s="48"/>
      <c r="C53" s="17" t="s">
        <v>205</v>
      </c>
      <c r="D53" s="35" t="s">
        <v>525</v>
      </c>
      <c r="E53" s="48" t="s">
        <v>478</v>
      </c>
      <c r="F53" s="38"/>
      <c r="I53" s="85"/>
      <c r="J53" s="57"/>
      <c r="M53" s="15"/>
    </row>
    <row r="54" ht="60.0" customHeight="1">
      <c r="A54" s="48"/>
      <c r="B54" s="48"/>
      <c r="C54" s="17" t="s">
        <v>205</v>
      </c>
      <c r="D54" s="35" t="s">
        <v>526</v>
      </c>
      <c r="E54" s="48" t="s">
        <v>478</v>
      </c>
      <c r="F54" s="38"/>
      <c r="I54" s="85"/>
      <c r="J54" s="57"/>
      <c r="M54" s="15"/>
    </row>
    <row r="55" ht="60.0" customHeight="1">
      <c r="A55" s="48"/>
      <c r="B55" s="48"/>
      <c r="C55" s="17" t="s">
        <v>205</v>
      </c>
      <c r="D55" s="35" t="s">
        <v>527</v>
      </c>
      <c r="E55" s="48" t="s">
        <v>478</v>
      </c>
      <c r="F55" s="38"/>
      <c r="I55" s="85"/>
      <c r="J55" s="57"/>
      <c r="M55" s="15"/>
    </row>
    <row r="56" ht="60.0" customHeight="1">
      <c r="A56" s="48"/>
      <c r="B56" s="48"/>
      <c r="C56" s="17" t="s">
        <v>205</v>
      </c>
      <c r="D56" s="35" t="s">
        <v>528</v>
      </c>
      <c r="E56" s="48" t="s">
        <v>478</v>
      </c>
      <c r="F56" s="38"/>
      <c r="I56" s="85"/>
      <c r="J56" s="57"/>
      <c r="M56" s="15"/>
    </row>
    <row r="57" ht="60.0" customHeight="1">
      <c r="A57" s="48"/>
      <c r="B57" s="48"/>
      <c r="C57" s="17" t="s">
        <v>205</v>
      </c>
      <c r="D57" s="35" t="s">
        <v>529</v>
      </c>
      <c r="E57" s="48" t="s">
        <v>478</v>
      </c>
      <c r="F57" s="38"/>
      <c r="I57" s="85"/>
      <c r="J57" s="57"/>
      <c r="M57" s="15"/>
    </row>
    <row r="58" ht="60.0" customHeight="1">
      <c r="A58" s="48"/>
      <c r="B58" s="48"/>
      <c r="C58" s="17" t="s">
        <v>205</v>
      </c>
      <c r="D58" s="35" t="s">
        <v>530</v>
      </c>
      <c r="E58" s="48" t="s">
        <v>478</v>
      </c>
      <c r="F58" s="38"/>
      <c r="I58" s="85"/>
      <c r="J58" s="57"/>
      <c r="M58" s="15"/>
    </row>
    <row r="59" ht="60.0" customHeight="1">
      <c r="A59" s="48"/>
      <c r="B59" s="48"/>
      <c r="C59" s="17" t="s">
        <v>205</v>
      </c>
      <c r="D59" s="35" t="s">
        <v>531</v>
      </c>
      <c r="E59" s="48" t="s">
        <v>478</v>
      </c>
      <c r="F59" s="38"/>
      <c r="I59" s="85"/>
      <c r="J59" s="57"/>
      <c r="M59" s="15"/>
    </row>
    <row r="60" ht="60.0" customHeight="1">
      <c r="A60" s="48"/>
      <c r="B60" s="48"/>
      <c r="C60" s="17" t="s">
        <v>205</v>
      </c>
      <c r="D60" s="35" t="s">
        <v>532</v>
      </c>
      <c r="E60" s="48" t="s">
        <v>478</v>
      </c>
      <c r="F60" s="38"/>
      <c r="I60" s="85"/>
      <c r="J60" s="57"/>
      <c r="M60" s="15"/>
    </row>
    <row r="61" ht="60.0" customHeight="1">
      <c r="A61" s="50"/>
      <c r="B61" s="50"/>
      <c r="C61" s="17" t="s">
        <v>205</v>
      </c>
      <c r="D61" s="35" t="s">
        <v>533</v>
      </c>
      <c r="E61" s="48" t="s">
        <v>478</v>
      </c>
      <c r="F61" s="38"/>
      <c r="I61" s="85"/>
      <c r="J61" s="57"/>
      <c r="M61" s="15"/>
    </row>
    <row r="62" ht="60.0" customHeight="1">
      <c r="A62" s="50"/>
      <c r="B62" s="50"/>
      <c r="C62" s="17" t="s">
        <v>205</v>
      </c>
      <c r="D62" s="35" t="s">
        <v>534</v>
      </c>
      <c r="E62" s="48" t="s">
        <v>478</v>
      </c>
      <c r="F62" s="38"/>
      <c r="I62" s="85"/>
      <c r="J62" s="57"/>
      <c r="M62" s="15"/>
    </row>
    <row r="63" ht="60.0" customHeight="1">
      <c r="A63" s="50"/>
      <c r="B63" s="50"/>
      <c r="C63" s="17" t="s">
        <v>205</v>
      </c>
      <c r="D63" s="35" t="s">
        <v>535</v>
      </c>
      <c r="E63" s="48" t="s">
        <v>478</v>
      </c>
      <c r="F63" s="38"/>
      <c r="I63" s="85"/>
      <c r="J63" s="57"/>
      <c r="M63" s="15"/>
    </row>
    <row r="64" ht="60.0" customHeight="1">
      <c r="A64" s="50"/>
      <c r="B64" s="50"/>
      <c r="C64" s="17" t="s">
        <v>205</v>
      </c>
      <c r="D64" s="35" t="s">
        <v>536</v>
      </c>
      <c r="E64" s="48" t="s">
        <v>478</v>
      </c>
      <c r="F64" s="38"/>
      <c r="I64" s="85"/>
      <c r="J64" s="57"/>
      <c r="M64" s="15"/>
    </row>
    <row r="65" ht="60.0" customHeight="1">
      <c r="A65" s="50"/>
      <c r="B65" s="50"/>
      <c r="C65" s="17" t="s">
        <v>205</v>
      </c>
      <c r="D65" s="35" t="s">
        <v>537</v>
      </c>
      <c r="E65" s="48" t="s">
        <v>478</v>
      </c>
      <c r="F65" s="38"/>
      <c r="I65" s="85"/>
      <c r="J65" s="57"/>
      <c r="M65" s="15"/>
    </row>
    <row r="66" ht="60.0" customHeight="1">
      <c r="A66" s="50"/>
      <c r="B66" s="50"/>
      <c r="C66" s="17" t="s">
        <v>205</v>
      </c>
      <c r="D66" s="35" t="s">
        <v>538</v>
      </c>
      <c r="E66" s="48" t="s">
        <v>539</v>
      </c>
      <c r="F66" s="38"/>
      <c r="I66" s="85"/>
      <c r="J66" s="57"/>
      <c r="M66" s="15"/>
    </row>
    <row r="67" ht="60.0" customHeight="1">
      <c r="A67" s="50"/>
      <c r="B67" s="50"/>
      <c r="C67" s="17" t="s">
        <v>205</v>
      </c>
      <c r="D67" s="35" t="s">
        <v>540</v>
      </c>
      <c r="E67" s="48" t="s">
        <v>539</v>
      </c>
      <c r="F67" s="38"/>
      <c r="I67" s="85"/>
      <c r="J67" s="57"/>
      <c r="M67" s="15"/>
    </row>
    <row r="68" ht="60.0" customHeight="1">
      <c r="A68" s="50"/>
      <c r="B68" s="50"/>
      <c r="C68" s="17" t="s">
        <v>205</v>
      </c>
      <c r="D68" s="35" t="s">
        <v>541</v>
      </c>
      <c r="E68" s="48" t="s">
        <v>539</v>
      </c>
      <c r="F68" s="38"/>
      <c r="I68" s="85"/>
      <c r="J68" s="57"/>
      <c r="M68" s="15"/>
    </row>
    <row r="69" ht="60.0" customHeight="1">
      <c r="A69" s="50"/>
      <c r="B69" s="50"/>
      <c r="C69" s="17" t="s">
        <v>205</v>
      </c>
      <c r="D69" s="35" t="s">
        <v>542</v>
      </c>
      <c r="E69" s="48" t="s">
        <v>472</v>
      </c>
      <c r="F69" s="38"/>
      <c r="I69" s="85"/>
      <c r="J69" s="57"/>
      <c r="M69" s="15"/>
    </row>
    <row r="70" ht="60.0" customHeight="1">
      <c r="A70" s="50"/>
      <c r="B70" s="50"/>
      <c r="C70" s="17" t="s">
        <v>205</v>
      </c>
      <c r="D70" s="35" t="s">
        <v>543</v>
      </c>
      <c r="E70" s="48" t="s">
        <v>472</v>
      </c>
      <c r="F70" s="38"/>
      <c r="I70" s="85"/>
      <c r="J70" s="57"/>
      <c r="M70" s="15"/>
    </row>
    <row r="71" ht="60.0" customHeight="1">
      <c r="A71" s="50"/>
      <c r="B71" s="50"/>
      <c r="C71" s="17" t="s">
        <v>205</v>
      </c>
      <c r="D71" s="35" t="s">
        <v>544</v>
      </c>
      <c r="E71" s="48" t="s">
        <v>472</v>
      </c>
      <c r="F71" s="38"/>
      <c r="I71" s="85"/>
      <c r="J71" s="57"/>
      <c r="M71" s="15"/>
    </row>
    <row r="72" ht="60.0" customHeight="1">
      <c r="A72" s="50"/>
      <c r="B72" s="50"/>
      <c r="C72" s="17" t="s">
        <v>205</v>
      </c>
      <c r="D72" s="35" t="s">
        <v>545</v>
      </c>
      <c r="E72" s="48" t="s">
        <v>472</v>
      </c>
      <c r="F72" s="38"/>
      <c r="I72" s="85"/>
      <c r="J72" s="57"/>
      <c r="M72" s="15"/>
    </row>
    <row r="73" ht="60.0" customHeight="1">
      <c r="A73" s="50"/>
      <c r="B73" s="50"/>
      <c r="C73" s="17" t="s">
        <v>205</v>
      </c>
      <c r="D73" s="35" t="s">
        <v>546</v>
      </c>
      <c r="E73" s="48" t="s">
        <v>472</v>
      </c>
      <c r="F73" s="38"/>
      <c r="I73" s="85"/>
      <c r="J73" s="57"/>
      <c r="M73" s="15"/>
    </row>
    <row r="74" ht="60.0" customHeight="1">
      <c r="A74" s="50"/>
      <c r="B74" s="50"/>
      <c r="C74" s="17" t="s">
        <v>205</v>
      </c>
      <c r="D74" s="35" t="s">
        <v>547</v>
      </c>
      <c r="E74" s="48" t="s">
        <v>472</v>
      </c>
      <c r="F74" s="38"/>
      <c r="I74" s="85"/>
      <c r="J74" s="57"/>
      <c r="M74" s="15"/>
    </row>
    <row r="75" ht="60.0" customHeight="1">
      <c r="A75" s="50"/>
      <c r="B75" s="50"/>
      <c r="C75" s="17" t="s">
        <v>205</v>
      </c>
      <c r="D75" s="35" t="s">
        <v>548</v>
      </c>
      <c r="E75" s="48" t="s">
        <v>472</v>
      </c>
      <c r="F75" s="38"/>
      <c r="I75" s="85"/>
      <c r="J75" s="57"/>
      <c r="M75" s="15"/>
    </row>
    <row r="76" ht="60.0" customHeight="1">
      <c r="A76" s="50"/>
      <c r="B76" s="50"/>
      <c r="C76" s="17" t="s">
        <v>205</v>
      </c>
      <c r="D76" s="35" t="s">
        <v>549</v>
      </c>
      <c r="E76" s="48" t="s">
        <v>472</v>
      </c>
      <c r="F76" s="38"/>
      <c r="I76" s="85"/>
      <c r="J76" s="57"/>
      <c r="M76" s="15"/>
    </row>
    <row r="77" ht="60.0" customHeight="1">
      <c r="A77" s="50"/>
      <c r="B77" s="50"/>
      <c r="C77" s="17" t="s">
        <v>205</v>
      </c>
      <c r="D77" s="35" t="s">
        <v>550</v>
      </c>
      <c r="E77" s="48" t="s">
        <v>478</v>
      </c>
      <c r="F77" s="38"/>
      <c r="I77" s="85"/>
      <c r="J77" s="57"/>
      <c r="M77" s="15"/>
    </row>
    <row r="78" ht="60.0" customHeight="1">
      <c r="A78" s="50"/>
      <c r="B78" s="50"/>
      <c r="C78" s="17" t="s">
        <v>205</v>
      </c>
      <c r="D78" s="35" t="s">
        <v>551</v>
      </c>
      <c r="E78" s="48" t="s">
        <v>478</v>
      </c>
      <c r="F78" s="38"/>
      <c r="I78" s="85"/>
      <c r="J78" s="57"/>
      <c r="M78" s="15"/>
    </row>
    <row r="79" ht="60.0" customHeight="1">
      <c r="A79" s="50"/>
      <c r="B79" s="50"/>
      <c r="C79" s="17" t="s">
        <v>205</v>
      </c>
      <c r="D79" s="35" t="s">
        <v>552</v>
      </c>
      <c r="E79" s="48" t="s">
        <v>478</v>
      </c>
      <c r="F79" s="38"/>
      <c r="I79" s="85"/>
      <c r="J79" s="57"/>
      <c r="M79" s="15"/>
    </row>
    <row r="80" ht="60.0" customHeight="1">
      <c r="A80" s="50"/>
      <c r="B80" s="50"/>
      <c r="C80" s="17" t="s">
        <v>205</v>
      </c>
      <c r="D80" s="35" t="s">
        <v>553</v>
      </c>
      <c r="E80" s="48" t="s">
        <v>478</v>
      </c>
      <c r="F80" s="38"/>
      <c r="I80" s="85"/>
      <c r="J80" s="57"/>
      <c r="M80" s="15"/>
    </row>
    <row r="81" ht="60.0" customHeight="1">
      <c r="A81" s="50"/>
      <c r="B81" s="50"/>
      <c r="C81" s="17" t="s">
        <v>205</v>
      </c>
      <c r="D81" s="35" t="s">
        <v>554</v>
      </c>
      <c r="E81" s="48" t="s">
        <v>478</v>
      </c>
      <c r="F81" s="38"/>
      <c r="I81" s="85"/>
      <c r="J81" s="57"/>
      <c r="M81" s="15"/>
    </row>
    <row r="82" ht="60.0" customHeight="1">
      <c r="A82" s="50"/>
      <c r="B82" s="48" t="s">
        <v>555</v>
      </c>
      <c r="C82" s="17" t="s">
        <v>205</v>
      </c>
      <c r="D82" s="35" t="s">
        <v>556</v>
      </c>
      <c r="E82" s="48" t="s">
        <v>472</v>
      </c>
      <c r="F82" s="38"/>
      <c r="I82" s="85"/>
      <c r="J82" s="57"/>
      <c r="M82" s="15"/>
    </row>
    <row r="83" ht="60.0" customHeight="1">
      <c r="A83" s="50"/>
      <c r="B83" s="48" t="s">
        <v>555</v>
      </c>
      <c r="C83" s="17" t="s">
        <v>205</v>
      </c>
      <c r="D83" s="35" t="s">
        <v>557</v>
      </c>
      <c r="E83" s="48" t="s">
        <v>472</v>
      </c>
      <c r="F83" s="38"/>
      <c r="I83" s="85"/>
      <c r="J83" s="57"/>
      <c r="M83" s="15"/>
    </row>
    <row r="84" ht="60.0" customHeight="1">
      <c r="A84" s="50"/>
      <c r="B84" s="48" t="s">
        <v>555</v>
      </c>
      <c r="C84" s="17" t="s">
        <v>205</v>
      </c>
      <c r="D84" s="35" t="s">
        <v>558</v>
      </c>
      <c r="E84" s="48" t="s">
        <v>472</v>
      </c>
      <c r="F84" s="38"/>
      <c r="I84" s="85"/>
      <c r="J84" s="57"/>
      <c r="M84" s="15"/>
    </row>
    <row r="85" ht="60.0" customHeight="1">
      <c r="A85" s="26"/>
      <c r="B85" s="48" t="s">
        <v>555</v>
      </c>
      <c r="C85" s="17" t="s">
        <v>205</v>
      </c>
      <c r="D85" s="37" t="s">
        <v>559</v>
      </c>
      <c r="E85" s="36" t="s">
        <v>472</v>
      </c>
      <c r="F85" s="38"/>
      <c r="I85" s="57"/>
      <c r="J85" s="57"/>
      <c r="M85" s="15"/>
    </row>
    <row r="86" ht="60.0" customHeight="1">
      <c r="A86" s="26"/>
      <c r="B86" s="36" t="s">
        <v>560</v>
      </c>
      <c r="C86" s="17" t="s">
        <v>205</v>
      </c>
      <c r="D86" s="37" t="s">
        <v>561</v>
      </c>
      <c r="E86" s="36" t="s">
        <v>562</v>
      </c>
      <c r="F86" s="38"/>
      <c r="I86" s="57"/>
      <c r="J86" s="57"/>
      <c r="M86" s="15"/>
    </row>
    <row r="87" ht="60.0" customHeight="1">
      <c r="A87" s="26"/>
      <c r="B87" s="36" t="s">
        <v>563</v>
      </c>
      <c r="C87" s="17" t="s">
        <v>205</v>
      </c>
      <c r="D87" s="37" t="s">
        <v>564</v>
      </c>
      <c r="E87" s="36" t="s">
        <v>472</v>
      </c>
      <c r="F87" s="38"/>
      <c r="I87" s="57"/>
      <c r="J87" s="57"/>
      <c r="M87" s="15"/>
    </row>
    <row r="88" ht="60.0" customHeight="1">
      <c r="A88" s="26"/>
      <c r="B88" s="36" t="s">
        <v>565</v>
      </c>
      <c r="C88" s="17" t="s">
        <v>205</v>
      </c>
      <c r="D88" s="37" t="s">
        <v>566</v>
      </c>
      <c r="E88" s="36" t="s">
        <v>472</v>
      </c>
      <c r="F88" s="38"/>
      <c r="I88" s="57"/>
      <c r="J88" s="57"/>
      <c r="M88" s="15"/>
    </row>
    <row r="89" ht="60.0" customHeight="1">
      <c r="A89" s="26"/>
      <c r="B89" s="36" t="s">
        <v>565</v>
      </c>
      <c r="C89" s="17" t="s">
        <v>205</v>
      </c>
      <c r="D89" s="37" t="s">
        <v>567</v>
      </c>
      <c r="E89" s="36" t="s">
        <v>472</v>
      </c>
      <c r="F89" s="38"/>
      <c r="I89" s="57"/>
      <c r="J89" s="57"/>
      <c r="M89" s="15"/>
    </row>
    <row r="90" ht="60.0" customHeight="1">
      <c r="A90" s="26"/>
      <c r="B90" s="36" t="s">
        <v>565</v>
      </c>
      <c r="C90" s="17" t="s">
        <v>205</v>
      </c>
      <c r="D90" s="37" t="s">
        <v>568</v>
      </c>
      <c r="E90" s="36" t="s">
        <v>472</v>
      </c>
      <c r="F90" s="38"/>
      <c r="I90" s="57"/>
      <c r="J90" s="57"/>
      <c r="M90" s="15"/>
    </row>
    <row r="91" ht="60.0" customHeight="1">
      <c r="A91" s="26"/>
      <c r="B91" s="36" t="s">
        <v>565</v>
      </c>
      <c r="C91" s="17" t="s">
        <v>205</v>
      </c>
      <c r="D91" s="37" t="s">
        <v>569</v>
      </c>
      <c r="E91" s="36" t="s">
        <v>472</v>
      </c>
      <c r="F91" s="38"/>
      <c r="I91" s="57"/>
      <c r="J91" s="57"/>
      <c r="M91" s="15"/>
    </row>
    <row r="92" ht="60.0" customHeight="1">
      <c r="A92" s="26"/>
      <c r="B92" s="36" t="s">
        <v>565</v>
      </c>
      <c r="C92" s="17" t="s">
        <v>205</v>
      </c>
      <c r="D92" s="37" t="s">
        <v>570</v>
      </c>
      <c r="E92" s="36" t="s">
        <v>472</v>
      </c>
      <c r="F92" s="38"/>
      <c r="I92" s="57"/>
      <c r="J92" s="57"/>
      <c r="M92" s="15"/>
    </row>
    <row r="93" ht="60.0" customHeight="1">
      <c r="A93" s="26"/>
      <c r="B93" s="48" t="s">
        <v>555</v>
      </c>
      <c r="C93" s="17" t="s">
        <v>205</v>
      </c>
      <c r="D93" s="37" t="s">
        <v>571</v>
      </c>
      <c r="E93" s="36" t="s">
        <v>472</v>
      </c>
      <c r="F93" s="38"/>
      <c r="I93" s="57"/>
      <c r="J93" s="57"/>
      <c r="M93" s="15"/>
    </row>
    <row r="94" ht="60.0" customHeight="1">
      <c r="A94" s="26"/>
      <c r="B94" s="48" t="s">
        <v>555</v>
      </c>
      <c r="C94" s="17" t="s">
        <v>205</v>
      </c>
      <c r="D94" s="37" t="s">
        <v>572</v>
      </c>
      <c r="E94" s="36" t="s">
        <v>472</v>
      </c>
      <c r="F94" s="38"/>
      <c r="I94" s="57"/>
      <c r="J94" s="57"/>
      <c r="M94" s="15"/>
    </row>
    <row r="95" ht="60.0" customHeight="1">
      <c r="A95" s="26"/>
      <c r="B95" s="48" t="s">
        <v>555</v>
      </c>
      <c r="C95" s="17" t="s">
        <v>205</v>
      </c>
      <c r="D95" s="37" t="s">
        <v>573</v>
      </c>
      <c r="E95" s="36" t="s">
        <v>472</v>
      </c>
      <c r="F95" s="38"/>
      <c r="I95" s="57"/>
      <c r="J95" s="57"/>
      <c r="M95" s="15"/>
    </row>
    <row r="96" ht="60.0" customHeight="1">
      <c r="A96" s="26"/>
      <c r="B96" s="36" t="s">
        <v>574</v>
      </c>
      <c r="C96" s="17" t="s">
        <v>205</v>
      </c>
      <c r="D96" s="37" t="s">
        <v>575</v>
      </c>
      <c r="E96" s="36" t="s">
        <v>472</v>
      </c>
      <c r="F96" s="38"/>
      <c r="I96" s="57"/>
      <c r="J96" s="57"/>
      <c r="M96" s="15"/>
    </row>
    <row r="97" ht="60.0" customHeight="1">
      <c r="A97" s="26"/>
      <c r="B97" s="26"/>
      <c r="C97" s="17" t="s">
        <v>205</v>
      </c>
      <c r="D97" s="37" t="s">
        <v>576</v>
      </c>
      <c r="E97" s="36" t="s">
        <v>472</v>
      </c>
      <c r="F97" s="38"/>
      <c r="I97" s="57"/>
      <c r="J97" s="57"/>
      <c r="M97" s="15"/>
    </row>
    <row r="98" ht="60.0" customHeight="1">
      <c r="A98" s="26"/>
      <c r="B98" s="26"/>
      <c r="C98" s="17" t="s">
        <v>205</v>
      </c>
      <c r="D98" s="37" t="s">
        <v>577</v>
      </c>
      <c r="E98" s="36" t="s">
        <v>472</v>
      </c>
      <c r="F98" s="38"/>
      <c r="I98" s="57"/>
      <c r="J98" s="57"/>
      <c r="M98" s="15"/>
    </row>
    <row r="99" ht="60.0" customHeight="1">
      <c r="A99" s="26"/>
      <c r="B99" s="26"/>
      <c r="C99" s="17" t="s">
        <v>205</v>
      </c>
      <c r="D99" s="37" t="s">
        <v>578</v>
      </c>
      <c r="E99" s="36" t="s">
        <v>472</v>
      </c>
      <c r="F99" s="38"/>
      <c r="I99" s="57"/>
      <c r="J99" s="57"/>
      <c r="M99" s="15"/>
    </row>
    <row r="100" ht="60.0" customHeight="1">
      <c r="A100" s="26"/>
      <c r="B100" s="26"/>
      <c r="C100" s="17" t="s">
        <v>205</v>
      </c>
      <c r="D100" s="37" t="s">
        <v>579</v>
      </c>
      <c r="E100" s="36" t="s">
        <v>478</v>
      </c>
      <c r="F100" s="38"/>
      <c r="I100" s="57"/>
      <c r="J100" s="57"/>
      <c r="M100" s="15"/>
    </row>
    <row r="101" ht="60.0" customHeight="1">
      <c r="A101" s="26"/>
      <c r="B101" s="26"/>
      <c r="C101" s="17" t="s">
        <v>205</v>
      </c>
      <c r="D101" s="37" t="s">
        <v>580</v>
      </c>
      <c r="E101" s="36" t="s">
        <v>478</v>
      </c>
      <c r="F101" s="38"/>
      <c r="I101" s="57"/>
      <c r="J101" s="57"/>
      <c r="M101" s="15"/>
    </row>
    <row r="102" ht="60.0" customHeight="1">
      <c r="A102" s="26"/>
      <c r="B102" s="26"/>
      <c r="C102" s="17" t="s">
        <v>205</v>
      </c>
      <c r="D102" s="37" t="s">
        <v>581</v>
      </c>
      <c r="E102" s="36" t="s">
        <v>478</v>
      </c>
      <c r="F102" s="38"/>
      <c r="I102" s="57"/>
      <c r="J102" s="57"/>
      <c r="M102" s="15"/>
    </row>
    <row r="103" ht="60.0" customHeight="1">
      <c r="A103" s="26"/>
      <c r="B103" s="26"/>
      <c r="C103" s="17" t="s">
        <v>205</v>
      </c>
      <c r="D103" s="37" t="s">
        <v>582</v>
      </c>
      <c r="E103" s="36" t="s">
        <v>539</v>
      </c>
      <c r="F103" s="38"/>
      <c r="I103" s="57"/>
      <c r="J103" s="57"/>
      <c r="M103" s="15"/>
    </row>
    <row r="104" ht="60.0" customHeight="1">
      <c r="A104" s="26"/>
      <c r="B104" s="26"/>
      <c r="C104" s="17" t="s">
        <v>205</v>
      </c>
      <c r="D104" s="37" t="s">
        <v>583</v>
      </c>
      <c r="E104" s="36" t="s">
        <v>539</v>
      </c>
      <c r="F104" s="38"/>
      <c r="I104" s="57"/>
      <c r="J104" s="57"/>
      <c r="M104" s="15"/>
    </row>
    <row r="105" ht="60.0" customHeight="1">
      <c r="A105" s="26"/>
      <c r="B105" s="26"/>
      <c r="C105" s="17" t="s">
        <v>205</v>
      </c>
      <c r="D105" s="37" t="s">
        <v>584</v>
      </c>
      <c r="E105" s="36" t="s">
        <v>585</v>
      </c>
      <c r="F105" s="38"/>
      <c r="I105" s="57"/>
      <c r="J105" s="57"/>
      <c r="M105" s="15"/>
    </row>
    <row r="106" ht="60.0" customHeight="1">
      <c r="A106" s="26"/>
      <c r="B106" s="26"/>
      <c r="C106" s="17" t="s">
        <v>205</v>
      </c>
      <c r="D106" s="37" t="s">
        <v>586</v>
      </c>
      <c r="E106" s="36" t="s">
        <v>585</v>
      </c>
      <c r="F106" s="38"/>
      <c r="I106" s="57"/>
      <c r="J106" s="57"/>
      <c r="M106" s="15"/>
    </row>
    <row r="107" ht="60.0" customHeight="1">
      <c r="A107" s="26"/>
      <c r="B107" s="26"/>
      <c r="C107" s="17" t="s">
        <v>205</v>
      </c>
      <c r="D107" s="37" t="s">
        <v>564</v>
      </c>
      <c r="E107" s="36" t="s">
        <v>585</v>
      </c>
      <c r="F107" s="38"/>
      <c r="I107" s="57"/>
      <c r="J107" s="57"/>
      <c r="M107" s="15"/>
    </row>
    <row r="108" ht="60.0" customHeight="1">
      <c r="A108" s="26"/>
      <c r="B108" s="26"/>
      <c r="C108" s="17" t="s">
        <v>205</v>
      </c>
      <c r="D108" s="37" t="s">
        <v>587</v>
      </c>
      <c r="E108" s="36" t="s">
        <v>465</v>
      </c>
      <c r="F108" s="38"/>
      <c r="I108" s="57"/>
      <c r="J108" s="57"/>
      <c r="M108" s="15"/>
    </row>
    <row r="109" ht="60.0" customHeight="1">
      <c r="A109" s="26"/>
      <c r="B109" s="26"/>
      <c r="C109" s="17" t="s">
        <v>205</v>
      </c>
      <c r="D109" s="37" t="s">
        <v>588</v>
      </c>
      <c r="E109" s="36" t="s">
        <v>465</v>
      </c>
      <c r="F109" s="38"/>
      <c r="I109" s="57"/>
      <c r="J109" s="57"/>
      <c r="M109" s="15"/>
    </row>
    <row r="110" ht="60.0" customHeight="1">
      <c r="A110" s="26"/>
      <c r="B110" s="26"/>
      <c r="C110" s="17" t="s">
        <v>205</v>
      </c>
      <c r="D110" s="37" t="s">
        <v>589</v>
      </c>
      <c r="E110" s="36" t="s">
        <v>465</v>
      </c>
      <c r="F110" s="38"/>
      <c r="I110" s="57"/>
      <c r="J110" s="57"/>
      <c r="M110" s="15"/>
    </row>
    <row r="111" ht="60.0" customHeight="1">
      <c r="A111" s="26"/>
      <c r="B111" s="26"/>
      <c r="C111" s="17" t="s">
        <v>205</v>
      </c>
      <c r="D111" s="37" t="s">
        <v>590</v>
      </c>
      <c r="E111" s="36" t="s">
        <v>585</v>
      </c>
      <c r="F111" s="38"/>
      <c r="I111" s="57"/>
      <c r="J111" s="57"/>
      <c r="M111" s="15"/>
    </row>
    <row r="112" ht="60.0" customHeight="1">
      <c r="A112" s="26"/>
      <c r="B112" s="26"/>
      <c r="C112" s="17" t="s">
        <v>205</v>
      </c>
      <c r="D112" s="37" t="s">
        <v>591</v>
      </c>
      <c r="E112" s="36" t="s">
        <v>472</v>
      </c>
      <c r="F112" s="38"/>
      <c r="I112" s="57"/>
      <c r="J112" s="57"/>
      <c r="M112" s="15"/>
    </row>
    <row r="113" ht="60.0" customHeight="1">
      <c r="A113" s="26"/>
      <c r="B113" s="26"/>
      <c r="C113" s="17" t="s">
        <v>205</v>
      </c>
      <c r="D113" s="37" t="s">
        <v>592</v>
      </c>
      <c r="E113" s="36" t="s">
        <v>585</v>
      </c>
      <c r="F113" s="38"/>
      <c r="I113" s="57"/>
      <c r="J113" s="57"/>
      <c r="M113" s="15"/>
    </row>
    <row r="114" ht="60.0" customHeight="1">
      <c r="A114" s="26"/>
      <c r="B114" s="26"/>
      <c r="C114" s="17" t="s">
        <v>205</v>
      </c>
      <c r="D114" s="37" t="s">
        <v>593</v>
      </c>
      <c r="E114" s="36" t="s">
        <v>585</v>
      </c>
      <c r="F114" s="38"/>
      <c r="I114" s="57"/>
      <c r="J114" s="57"/>
      <c r="M114" s="15"/>
    </row>
    <row r="115" ht="60.0" customHeight="1">
      <c r="A115" s="26"/>
      <c r="B115" s="26"/>
      <c r="C115" s="17" t="s">
        <v>205</v>
      </c>
      <c r="D115" s="37" t="s">
        <v>594</v>
      </c>
      <c r="E115" s="36" t="s">
        <v>585</v>
      </c>
      <c r="F115" s="38"/>
      <c r="I115" s="57"/>
      <c r="J115" s="57"/>
      <c r="M115" s="15"/>
    </row>
    <row r="116" ht="60.0" customHeight="1">
      <c r="A116" s="26"/>
      <c r="B116" s="26"/>
      <c r="C116" s="17" t="s">
        <v>205</v>
      </c>
      <c r="D116" s="37" t="s">
        <v>595</v>
      </c>
      <c r="E116" s="36" t="s">
        <v>562</v>
      </c>
      <c r="F116" s="38"/>
      <c r="I116" s="57"/>
      <c r="J116" s="57"/>
      <c r="M116" s="15"/>
    </row>
    <row r="117" ht="60.0" customHeight="1">
      <c r="A117" s="26"/>
      <c r="B117" s="26"/>
      <c r="C117" s="17" t="s">
        <v>205</v>
      </c>
      <c r="D117" s="37" t="s">
        <v>596</v>
      </c>
      <c r="E117" s="36" t="s">
        <v>562</v>
      </c>
      <c r="F117" s="38"/>
      <c r="I117" s="57"/>
      <c r="J117" s="57"/>
      <c r="M117" s="15"/>
    </row>
    <row r="118" ht="60.0" customHeight="1">
      <c r="A118" s="26"/>
      <c r="B118" s="26"/>
      <c r="C118" s="17" t="s">
        <v>205</v>
      </c>
      <c r="D118" s="37" t="s">
        <v>597</v>
      </c>
      <c r="E118" s="36" t="s">
        <v>562</v>
      </c>
      <c r="F118" s="38"/>
      <c r="I118" s="57"/>
      <c r="J118" s="57"/>
      <c r="M118" s="15"/>
    </row>
    <row r="119" ht="60.0" customHeight="1">
      <c r="A119" s="26"/>
      <c r="B119" s="26"/>
      <c r="C119" s="17" t="s">
        <v>205</v>
      </c>
      <c r="D119" s="37" t="s">
        <v>598</v>
      </c>
      <c r="E119" s="36" t="s">
        <v>562</v>
      </c>
      <c r="F119" s="38"/>
      <c r="I119" s="57"/>
      <c r="J119" s="57"/>
      <c r="M119" s="15"/>
    </row>
    <row r="120" ht="60.0" customHeight="1">
      <c r="A120" s="26"/>
      <c r="B120" s="26"/>
      <c r="C120" s="17" t="s">
        <v>205</v>
      </c>
      <c r="D120" s="37" t="s">
        <v>599</v>
      </c>
      <c r="E120" s="36" t="s">
        <v>562</v>
      </c>
      <c r="F120" s="38"/>
      <c r="I120" s="57"/>
      <c r="J120" s="57"/>
      <c r="M120" s="15"/>
    </row>
    <row r="121" ht="60.0" customHeight="1">
      <c r="A121" s="26"/>
      <c r="B121" s="26"/>
      <c r="C121" s="17" t="s">
        <v>205</v>
      </c>
      <c r="D121" s="37" t="s">
        <v>600</v>
      </c>
      <c r="E121" s="36" t="s">
        <v>562</v>
      </c>
      <c r="F121" s="38"/>
      <c r="I121" s="57"/>
      <c r="J121" s="57"/>
      <c r="M121" s="15"/>
    </row>
    <row r="122" ht="60.0" customHeight="1">
      <c r="A122" s="26"/>
      <c r="B122" s="26"/>
      <c r="C122" s="17" t="s">
        <v>205</v>
      </c>
      <c r="D122" s="37" t="s">
        <v>601</v>
      </c>
      <c r="E122" s="36" t="s">
        <v>562</v>
      </c>
      <c r="F122" s="38"/>
      <c r="I122" s="57"/>
      <c r="J122" s="57"/>
      <c r="M122" s="15"/>
    </row>
    <row r="123" ht="60.0" customHeight="1">
      <c r="A123" s="26"/>
      <c r="B123" s="26"/>
      <c r="C123" s="17" t="s">
        <v>205</v>
      </c>
      <c r="D123" s="37" t="s">
        <v>602</v>
      </c>
      <c r="E123" s="36" t="s">
        <v>562</v>
      </c>
      <c r="F123" s="38"/>
      <c r="I123" s="57"/>
      <c r="J123" s="57"/>
      <c r="M123" s="15"/>
    </row>
    <row r="124" ht="60.0" customHeight="1">
      <c r="A124" s="26"/>
      <c r="B124" s="26"/>
      <c r="C124" s="17" t="s">
        <v>205</v>
      </c>
      <c r="D124" s="37" t="s">
        <v>603</v>
      </c>
      <c r="E124" s="36" t="s">
        <v>562</v>
      </c>
      <c r="F124" s="38"/>
      <c r="I124" s="57"/>
      <c r="J124" s="57"/>
      <c r="M124" s="15"/>
    </row>
    <row r="125" ht="60.0" customHeight="1">
      <c r="A125" s="26"/>
      <c r="B125" s="26"/>
      <c r="C125" s="17" t="s">
        <v>205</v>
      </c>
      <c r="D125" s="37" t="s">
        <v>604</v>
      </c>
      <c r="E125" s="36" t="s">
        <v>472</v>
      </c>
      <c r="F125" s="38"/>
      <c r="I125" s="57"/>
      <c r="J125" s="57"/>
      <c r="M125" s="15"/>
    </row>
    <row r="126" ht="60.0" customHeight="1">
      <c r="A126" s="26"/>
      <c r="B126" s="26"/>
      <c r="C126" s="17" t="s">
        <v>205</v>
      </c>
      <c r="D126" s="37" t="s">
        <v>605</v>
      </c>
      <c r="E126" s="36" t="s">
        <v>562</v>
      </c>
      <c r="F126" s="38"/>
      <c r="I126" s="57"/>
      <c r="J126" s="57"/>
      <c r="M126" s="15"/>
    </row>
    <row r="127" ht="60.0" customHeight="1">
      <c r="A127" s="26"/>
      <c r="B127" s="26"/>
      <c r="C127" s="17" t="s">
        <v>205</v>
      </c>
      <c r="D127" s="37" t="s">
        <v>606</v>
      </c>
      <c r="E127" s="36" t="s">
        <v>472</v>
      </c>
      <c r="F127" s="38"/>
      <c r="I127" s="57"/>
      <c r="J127" s="57"/>
      <c r="M127" s="15"/>
    </row>
    <row r="128" ht="60.0" customHeight="1">
      <c r="A128" s="26"/>
      <c r="B128" s="26"/>
      <c r="C128" s="17" t="s">
        <v>205</v>
      </c>
      <c r="D128" s="37" t="s">
        <v>607</v>
      </c>
      <c r="E128" s="36" t="s">
        <v>562</v>
      </c>
      <c r="F128" s="38"/>
      <c r="I128" s="57"/>
      <c r="J128" s="57"/>
      <c r="M128" s="15"/>
    </row>
    <row r="129" ht="60.0" customHeight="1">
      <c r="A129" s="26"/>
      <c r="B129" s="26"/>
      <c r="C129" s="17" t="s">
        <v>205</v>
      </c>
      <c r="D129" s="37" t="s">
        <v>608</v>
      </c>
      <c r="E129" s="36" t="s">
        <v>472</v>
      </c>
      <c r="F129" s="38"/>
      <c r="I129" s="57"/>
      <c r="J129" s="57"/>
      <c r="M129" s="15"/>
    </row>
    <row r="130" ht="60.0" customHeight="1">
      <c r="A130" s="26"/>
      <c r="B130" s="26"/>
      <c r="C130" s="17" t="s">
        <v>205</v>
      </c>
      <c r="D130" s="37" t="s">
        <v>609</v>
      </c>
      <c r="E130" s="36" t="s">
        <v>472</v>
      </c>
      <c r="F130" s="38"/>
      <c r="I130" s="57"/>
      <c r="J130" s="57"/>
      <c r="M130" s="15"/>
    </row>
    <row r="131" ht="60.0" customHeight="1">
      <c r="A131" s="26"/>
      <c r="B131" s="26"/>
      <c r="C131" s="17" t="s">
        <v>205</v>
      </c>
      <c r="D131" s="37" t="s">
        <v>610</v>
      </c>
      <c r="E131" s="36" t="s">
        <v>472</v>
      </c>
      <c r="F131" s="38"/>
      <c r="I131" s="57"/>
      <c r="J131" s="57"/>
      <c r="M131" s="15"/>
    </row>
    <row r="132" ht="60.0" customHeight="1">
      <c r="A132" s="26"/>
      <c r="B132" s="26"/>
      <c r="C132" s="17" t="s">
        <v>205</v>
      </c>
      <c r="D132" s="37" t="s">
        <v>611</v>
      </c>
      <c r="E132" s="36" t="s">
        <v>472</v>
      </c>
      <c r="F132" s="38"/>
      <c r="I132" s="57"/>
      <c r="J132" s="57"/>
      <c r="M132" s="15"/>
    </row>
    <row r="133" ht="60.0" customHeight="1">
      <c r="A133" s="26"/>
      <c r="B133" s="26"/>
      <c r="C133" s="17" t="s">
        <v>205</v>
      </c>
      <c r="D133" s="37" t="s">
        <v>612</v>
      </c>
      <c r="E133" s="36" t="s">
        <v>472</v>
      </c>
      <c r="F133" s="38"/>
      <c r="I133" s="57"/>
      <c r="J133" s="57"/>
      <c r="M133" s="15"/>
    </row>
    <row r="134" ht="60.0" customHeight="1">
      <c r="A134" s="26"/>
      <c r="B134" s="26"/>
      <c r="C134" s="17" t="s">
        <v>205</v>
      </c>
      <c r="D134" s="37" t="s">
        <v>613</v>
      </c>
      <c r="E134" s="36" t="s">
        <v>585</v>
      </c>
      <c r="F134" s="38"/>
      <c r="I134" s="57"/>
      <c r="J134" s="57"/>
      <c r="M134" s="15"/>
    </row>
    <row r="135" ht="60.0" customHeight="1">
      <c r="A135" s="26"/>
      <c r="B135" s="26"/>
      <c r="C135" s="17" t="s">
        <v>205</v>
      </c>
      <c r="D135" s="37" t="s">
        <v>614</v>
      </c>
      <c r="E135" s="36" t="s">
        <v>472</v>
      </c>
      <c r="F135" s="38"/>
      <c r="I135" s="57"/>
      <c r="J135" s="57"/>
      <c r="M135" s="15"/>
    </row>
    <row r="136" ht="60.0" customHeight="1">
      <c r="A136" s="26"/>
      <c r="B136" s="26"/>
      <c r="C136" s="17" t="s">
        <v>205</v>
      </c>
      <c r="D136" s="37" t="s">
        <v>615</v>
      </c>
      <c r="E136" s="36" t="s">
        <v>472</v>
      </c>
      <c r="F136" s="38"/>
      <c r="I136" s="57"/>
      <c r="J136" s="57"/>
      <c r="M136" s="15"/>
    </row>
    <row r="137" ht="60.0" customHeight="1">
      <c r="A137" s="26"/>
      <c r="B137" s="26"/>
      <c r="C137" s="17" t="s">
        <v>205</v>
      </c>
      <c r="D137" s="37" t="s">
        <v>616</v>
      </c>
      <c r="E137" s="36" t="s">
        <v>472</v>
      </c>
      <c r="F137" s="38"/>
      <c r="I137" s="57"/>
      <c r="J137" s="57"/>
      <c r="M137" s="15"/>
    </row>
    <row r="138" ht="60.0" customHeight="1">
      <c r="A138" s="26"/>
      <c r="B138" s="26"/>
      <c r="C138" s="17" t="s">
        <v>205</v>
      </c>
      <c r="D138" s="37" t="s">
        <v>617</v>
      </c>
      <c r="E138" s="36" t="s">
        <v>465</v>
      </c>
      <c r="F138" s="38"/>
      <c r="I138" s="57"/>
      <c r="J138" s="57"/>
      <c r="M138" s="15"/>
    </row>
    <row r="139" ht="60.0" customHeight="1">
      <c r="A139" s="26"/>
      <c r="B139" s="26"/>
      <c r="C139" s="17" t="s">
        <v>205</v>
      </c>
      <c r="D139" s="37" t="s">
        <v>618</v>
      </c>
      <c r="E139" s="36" t="s">
        <v>472</v>
      </c>
      <c r="F139" s="38"/>
      <c r="I139" s="57"/>
      <c r="J139" s="57"/>
      <c r="M139" s="15"/>
    </row>
    <row r="140" ht="60.0" customHeight="1">
      <c r="A140" s="26"/>
      <c r="B140" s="26"/>
      <c r="C140" s="17" t="s">
        <v>205</v>
      </c>
      <c r="D140" s="37" t="s">
        <v>619</v>
      </c>
      <c r="E140" s="36" t="s">
        <v>472</v>
      </c>
      <c r="F140" s="38"/>
      <c r="I140" s="57"/>
      <c r="J140" s="57"/>
      <c r="M140" s="15"/>
    </row>
    <row r="141" ht="60.0" customHeight="1">
      <c r="A141" s="26"/>
      <c r="B141" s="26"/>
      <c r="C141" s="17" t="s">
        <v>205</v>
      </c>
      <c r="D141" s="37" t="s">
        <v>620</v>
      </c>
      <c r="E141" s="36" t="s">
        <v>472</v>
      </c>
      <c r="F141" s="38"/>
      <c r="I141" s="57"/>
      <c r="J141" s="57"/>
      <c r="M141" s="15"/>
    </row>
    <row r="142" ht="60.0" customHeight="1">
      <c r="A142" s="26"/>
      <c r="B142" s="26"/>
      <c r="C142" s="17" t="s">
        <v>205</v>
      </c>
      <c r="D142" s="37" t="s">
        <v>621</v>
      </c>
      <c r="E142" s="36" t="s">
        <v>472</v>
      </c>
      <c r="F142" s="38"/>
      <c r="I142" s="57"/>
      <c r="J142" s="57"/>
      <c r="M142" s="15"/>
    </row>
    <row r="143" ht="60.0" customHeight="1">
      <c r="A143" s="26"/>
      <c r="B143" s="26"/>
      <c r="C143" s="17" t="s">
        <v>205</v>
      </c>
      <c r="D143" s="37" t="s">
        <v>622</v>
      </c>
      <c r="E143" s="36" t="s">
        <v>472</v>
      </c>
      <c r="F143" s="38"/>
      <c r="I143" s="57"/>
      <c r="J143" s="57"/>
      <c r="M143" s="15"/>
    </row>
    <row r="144" ht="60.0" customHeight="1">
      <c r="A144" s="26"/>
      <c r="B144" s="26"/>
      <c r="C144" s="17" t="s">
        <v>205</v>
      </c>
      <c r="D144" s="37" t="s">
        <v>623</v>
      </c>
      <c r="E144" s="36" t="s">
        <v>472</v>
      </c>
      <c r="F144" s="38"/>
      <c r="I144" s="57"/>
      <c r="J144" s="57"/>
      <c r="M144" s="15"/>
    </row>
    <row r="145" ht="60.0" customHeight="1">
      <c r="A145" s="26"/>
      <c r="B145" s="26"/>
      <c r="C145" s="17" t="s">
        <v>205</v>
      </c>
      <c r="D145" s="37" t="s">
        <v>624</v>
      </c>
      <c r="E145" s="36" t="s">
        <v>472</v>
      </c>
      <c r="F145" s="38"/>
      <c r="I145" s="57"/>
      <c r="J145" s="57"/>
      <c r="M145" s="15"/>
    </row>
    <row r="146" ht="60.0" customHeight="1">
      <c r="A146" s="26"/>
      <c r="B146" s="26"/>
      <c r="C146" s="17" t="s">
        <v>205</v>
      </c>
      <c r="D146" s="37" t="s">
        <v>625</v>
      </c>
      <c r="E146" s="36" t="s">
        <v>472</v>
      </c>
      <c r="F146" s="38"/>
      <c r="I146" s="57"/>
      <c r="J146" s="57"/>
      <c r="M146" s="15"/>
    </row>
    <row r="147" ht="60.0" customHeight="1">
      <c r="A147" s="26"/>
      <c r="B147" s="26"/>
      <c r="C147" s="17" t="s">
        <v>205</v>
      </c>
      <c r="D147" s="37" t="s">
        <v>626</v>
      </c>
      <c r="E147" s="36" t="s">
        <v>472</v>
      </c>
      <c r="F147" s="38"/>
      <c r="I147" s="57"/>
      <c r="J147" s="57"/>
      <c r="M147" s="15"/>
    </row>
    <row r="148" ht="60.0" customHeight="1">
      <c r="A148" s="26"/>
      <c r="B148" s="26"/>
      <c r="C148" s="17" t="s">
        <v>205</v>
      </c>
      <c r="D148" s="37" t="s">
        <v>627</v>
      </c>
      <c r="E148" s="36" t="s">
        <v>585</v>
      </c>
      <c r="F148" s="38"/>
      <c r="I148" s="57"/>
      <c r="J148" s="57"/>
      <c r="M148" s="15"/>
    </row>
    <row r="149" ht="63.0" customHeight="1">
      <c r="A149" s="26"/>
      <c r="B149" s="26"/>
      <c r="C149" s="17" t="s">
        <v>205</v>
      </c>
      <c r="D149" s="37" t="s">
        <v>628</v>
      </c>
      <c r="E149" s="36" t="s">
        <v>562</v>
      </c>
      <c r="F149" s="38"/>
      <c r="I149" s="57"/>
      <c r="J149" s="57"/>
      <c r="M149" s="15"/>
    </row>
    <row r="150" ht="63.0" customHeight="1">
      <c r="A150" s="26"/>
      <c r="B150" s="26"/>
      <c r="C150" s="17" t="s">
        <v>151</v>
      </c>
      <c r="D150" s="37" t="s">
        <v>629</v>
      </c>
      <c r="E150" s="36" t="s">
        <v>630</v>
      </c>
      <c r="F150" s="38"/>
      <c r="I150" s="57"/>
      <c r="J150" s="57"/>
      <c r="M150" s="15"/>
    </row>
    <row r="151" ht="63.0" customHeight="1">
      <c r="A151" s="26"/>
      <c r="B151" s="26"/>
      <c r="C151" s="17" t="s">
        <v>151</v>
      </c>
      <c r="D151" s="37" t="s">
        <v>631</v>
      </c>
      <c r="E151" s="36" t="s">
        <v>632</v>
      </c>
      <c r="F151" s="38"/>
      <c r="I151" s="57"/>
      <c r="J151" s="57"/>
      <c r="M151" s="15"/>
    </row>
    <row r="152" ht="63.0" customHeight="1">
      <c r="A152" s="26"/>
      <c r="B152" s="26"/>
      <c r="C152" s="17" t="s">
        <v>151</v>
      </c>
      <c r="D152" s="37" t="s">
        <v>633</v>
      </c>
      <c r="E152" s="36" t="s">
        <v>632</v>
      </c>
      <c r="F152" s="38"/>
      <c r="I152" s="57"/>
      <c r="J152" s="57"/>
      <c r="M152" s="15"/>
    </row>
    <row r="153" ht="63.0" customHeight="1">
      <c r="A153" s="26"/>
      <c r="B153" s="26"/>
      <c r="C153" s="17" t="s">
        <v>151</v>
      </c>
      <c r="D153" s="37" t="s">
        <v>634</v>
      </c>
      <c r="E153" s="36" t="s">
        <v>632</v>
      </c>
      <c r="F153" s="38"/>
      <c r="I153" s="57"/>
      <c r="J153" s="57"/>
      <c r="M153" s="15"/>
    </row>
    <row r="154" ht="63.0" customHeight="1">
      <c r="A154" s="26"/>
      <c r="B154" s="26"/>
      <c r="C154" s="17" t="s">
        <v>151</v>
      </c>
      <c r="D154" s="37" t="s">
        <v>635</v>
      </c>
      <c r="E154" s="36" t="s">
        <v>632</v>
      </c>
      <c r="F154" s="38"/>
      <c r="I154" s="57"/>
      <c r="J154" s="57"/>
      <c r="M154" s="15"/>
    </row>
    <row r="155" ht="63.0" customHeight="1">
      <c r="A155" s="26"/>
      <c r="B155" s="26"/>
      <c r="C155" s="17" t="s">
        <v>151</v>
      </c>
      <c r="D155" s="37" t="s">
        <v>636</v>
      </c>
      <c r="E155" s="36" t="s">
        <v>637</v>
      </c>
      <c r="F155" s="38"/>
      <c r="I155" s="57"/>
      <c r="J155" s="57"/>
      <c r="M155" s="15"/>
    </row>
    <row r="156" ht="63.0" customHeight="1">
      <c r="A156" s="26"/>
      <c r="B156" s="26"/>
      <c r="C156" s="17" t="s">
        <v>151</v>
      </c>
      <c r="D156" s="37" t="s">
        <v>638</v>
      </c>
      <c r="E156" s="36" t="s">
        <v>632</v>
      </c>
      <c r="F156" s="38"/>
      <c r="I156" s="57"/>
      <c r="J156" s="57"/>
      <c r="M156" s="15"/>
    </row>
    <row r="157" ht="63.0" customHeight="1">
      <c r="A157" s="26"/>
      <c r="B157" s="26"/>
      <c r="C157" s="17" t="s">
        <v>151</v>
      </c>
      <c r="D157" s="37" t="s">
        <v>639</v>
      </c>
      <c r="E157" s="36" t="s">
        <v>632</v>
      </c>
      <c r="F157" s="38"/>
      <c r="I157" s="57"/>
      <c r="J157" s="57"/>
      <c r="M157" s="15"/>
    </row>
    <row r="158" ht="63.0" customHeight="1">
      <c r="A158" s="26"/>
      <c r="B158" s="26"/>
      <c r="C158" s="17" t="s">
        <v>151</v>
      </c>
      <c r="D158" s="37" t="s">
        <v>640</v>
      </c>
      <c r="E158" s="36" t="s">
        <v>632</v>
      </c>
      <c r="F158" s="38"/>
      <c r="I158" s="57"/>
      <c r="J158" s="57"/>
      <c r="M158" s="15"/>
    </row>
    <row r="159" ht="63.0" customHeight="1">
      <c r="A159" s="26"/>
      <c r="B159" s="26"/>
      <c r="C159" s="17" t="s">
        <v>151</v>
      </c>
      <c r="D159" s="37" t="s">
        <v>641</v>
      </c>
      <c r="E159" s="36" t="s">
        <v>637</v>
      </c>
      <c r="F159" s="38"/>
      <c r="I159" s="57"/>
      <c r="J159" s="57"/>
      <c r="M159" s="15"/>
    </row>
    <row r="160" ht="63.0" customHeight="1">
      <c r="A160" s="26"/>
      <c r="B160" s="26"/>
      <c r="C160" s="17" t="s">
        <v>151</v>
      </c>
      <c r="D160" s="37" t="s">
        <v>642</v>
      </c>
      <c r="E160" s="36" t="s">
        <v>632</v>
      </c>
      <c r="F160" s="38"/>
      <c r="I160" s="57"/>
      <c r="J160" s="57"/>
      <c r="M160" s="15"/>
    </row>
    <row r="161" ht="63.0" customHeight="1">
      <c r="A161" s="26"/>
      <c r="B161" s="26"/>
      <c r="C161" s="17" t="s">
        <v>151</v>
      </c>
      <c r="D161" s="37" t="s">
        <v>643</v>
      </c>
      <c r="E161" s="36" t="s">
        <v>632</v>
      </c>
      <c r="F161" s="38"/>
      <c r="I161" s="57"/>
      <c r="J161" s="57"/>
      <c r="M161" s="15"/>
    </row>
    <row r="162" ht="63.0" customHeight="1">
      <c r="A162" s="26"/>
      <c r="B162" s="26"/>
      <c r="C162" s="17" t="s">
        <v>151</v>
      </c>
      <c r="D162" s="37" t="s">
        <v>644</v>
      </c>
      <c r="E162" s="36" t="s">
        <v>637</v>
      </c>
      <c r="F162" s="38"/>
      <c r="I162" s="57"/>
      <c r="J162" s="57"/>
      <c r="M162" s="15"/>
    </row>
    <row r="163" ht="63.0" customHeight="1">
      <c r="A163" s="26"/>
      <c r="B163" s="26"/>
      <c r="C163" s="17" t="s">
        <v>151</v>
      </c>
      <c r="D163" s="37" t="s">
        <v>644</v>
      </c>
      <c r="E163" s="36" t="s">
        <v>637</v>
      </c>
      <c r="F163" s="38"/>
      <c r="I163" s="57"/>
      <c r="J163" s="57"/>
      <c r="M163" s="15"/>
    </row>
    <row r="164" ht="63.0" customHeight="1">
      <c r="A164" s="26"/>
      <c r="B164" s="26"/>
      <c r="C164" s="17" t="s">
        <v>151</v>
      </c>
      <c r="D164" s="37" t="s">
        <v>645</v>
      </c>
      <c r="E164" s="36" t="s">
        <v>637</v>
      </c>
      <c r="F164" s="38"/>
      <c r="I164" s="57"/>
      <c r="J164" s="57"/>
      <c r="M164" s="15"/>
    </row>
    <row r="165" ht="63.0" customHeight="1">
      <c r="A165" s="26"/>
      <c r="B165" s="26"/>
      <c r="C165" s="17" t="s">
        <v>151</v>
      </c>
      <c r="D165" s="37" t="s">
        <v>646</v>
      </c>
      <c r="E165" s="36" t="s">
        <v>632</v>
      </c>
      <c r="F165" s="38"/>
      <c r="I165" s="57"/>
      <c r="J165" s="57"/>
      <c r="M165" s="15"/>
    </row>
    <row r="166" ht="63.0" customHeight="1">
      <c r="A166" s="26"/>
      <c r="B166" s="26"/>
      <c r="C166" s="17" t="s">
        <v>151</v>
      </c>
      <c r="D166" s="37" t="s">
        <v>647</v>
      </c>
      <c r="E166" s="36" t="s">
        <v>632</v>
      </c>
      <c r="F166" s="38"/>
      <c r="I166" s="57"/>
      <c r="J166" s="57"/>
      <c r="M166" s="15"/>
    </row>
    <row r="167" ht="63.0" customHeight="1">
      <c r="A167" s="26"/>
      <c r="B167" s="26"/>
      <c r="C167" s="17" t="s">
        <v>151</v>
      </c>
      <c r="D167" s="37" t="s">
        <v>648</v>
      </c>
      <c r="E167" s="36" t="s">
        <v>632</v>
      </c>
      <c r="F167" s="38"/>
      <c r="I167" s="57"/>
      <c r="J167" s="57"/>
      <c r="M167" s="15"/>
    </row>
    <row r="168" ht="63.0" customHeight="1">
      <c r="A168" s="26"/>
      <c r="B168" s="26"/>
      <c r="C168" s="17" t="s">
        <v>151</v>
      </c>
      <c r="D168" s="37" t="s">
        <v>649</v>
      </c>
      <c r="E168" s="36" t="s">
        <v>632</v>
      </c>
      <c r="F168" s="38"/>
      <c r="I168" s="57"/>
      <c r="J168" s="57"/>
      <c r="M168" s="15"/>
    </row>
    <row r="169" ht="63.0" customHeight="1">
      <c r="A169" s="26"/>
      <c r="B169" s="26"/>
      <c r="C169" s="17" t="s">
        <v>151</v>
      </c>
      <c r="D169" s="37" t="s">
        <v>650</v>
      </c>
      <c r="E169" s="36" t="s">
        <v>632</v>
      </c>
      <c r="F169" s="38"/>
      <c r="I169" s="57"/>
      <c r="J169" s="57"/>
      <c r="M169" s="15"/>
    </row>
    <row r="170" ht="63.0" customHeight="1">
      <c r="A170" s="26"/>
      <c r="B170" s="26"/>
      <c r="C170" s="17" t="s">
        <v>151</v>
      </c>
      <c r="D170" s="37" t="s">
        <v>651</v>
      </c>
      <c r="E170" s="36" t="s">
        <v>632</v>
      </c>
      <c r="F170" s="38"/>
      <c r="I170" s="57"/>
      <c r="J170" s="57"/>
      <c r="M170" s="15"/>
    </row>
    <row r="171" ht="63.0" customHeight="1">
      <c r="A171" s="26"/>
      <c r="B171" s="26"/>
      <c r="C171" s="17" t="s">
        <v>151</v>
      </c>
      <c r="D171" s="37" t="s">
        <v>652</v>
      </c>
      <c r="E171" s="36" t="s">
        <v>632</v>
      </c>
      <c r="F171" s="38"/>
      <c r="I171" s="57"/>
      <c r="J171" s="57"/>
      <c r="M171" s="15"/>
    </row>
    <row r="172" ht="63.0" customHeight="1">
      <c r="A172" s="26"/>
      <c r="B172" s="26"/>
      <c r="C172" s="17" t="s">
        <v>151</v>
      </c>
      <c r="D172" s="37" t="s">
        <v>653</v>
      </c>
      <c r="E172" s="36" t="s">
        <v>632</v>
      </c>
      <c r="F172" s="38"/>
      <c r="I172" s="57"/>
      <c r="J172" s="57"/>
      <c r="M172" s="15"/>
    </row>
    <row r="173" ht="63.0" customHeight="1">
      <c r="A173" s="26"/>
      <c r="B173" s="26"/>
      <c r="C173" s="17" t="s">
        <v>151</v>
      </c>
      <c r="D173" s="37" t="s">
        <v>654</v>
      </c>
      <c r="E173" s="36" t="s">
        <v>632</v>
      </c>
      <c r="F173" s="38"/>
      <c r="I173" s="57"/>
      <c r="J173" s="57"/>
      <c r="M173" s="15"/>
    </row>
    <row r="174" ht="63.0" customHeight="1">
      <c r="A174" s="26"/>
      <c r="B174" s="26"/>
      <c r="C174" s="17" t="s">
        <v>151</v>
      </c>
      <c r="D174" s="37" t="s">
        <v>655</v>
      </c>
      <c r="E174" s="36" t="s">
        <v>632</v>
      </c>
      <c r="F174" s="38"/>
      <c r="I174" s="57"/>
      <c r="J174" s="57"/>
      <c r="M174" s="15"/>
    </row>
    <row r="175" ht="63.0" customHeight="1">
      <c r="A175" s="26"/>
      <c r="B175" s="26"/>
      <c r="C175" s="17" t="s">
        <v>151</v>
      </c>
      <c r="D175" s="37" t="s">
        <v>656</v>
      </c>
      <c r="E175" s="36" t="s">
        <v>632</v>
      </c>
      <c r="F175" s="38"/>
      <c r="I175" s="57"/>
      <c r="J175" s="57"/>
      <c r="M175" s="15"/>
    </row>
    <row r="176" ht="63.0" customHeight="1">
      <c r="A176" s="26"/>
      <c r="B176" s="26"/>
      <c r="C176" s="17" t="s">
        <v>151</v>
      </c>
      <c r="D176" s="37" t="s">
        <v>657</v>
      </c>
      <c r="E176" s="36" t="s">
        <v>632</v>
      </c>
      <c r="F176" s="38"/>
      <c r="I176" s="57"/>
      <c r="J176" s="57"/>
      <c r="M176" s="15"/>
    </row>
    <row r="177" ht="63.0" customHeight="1">
      <c r="A177" s="26"/>
      <c r="B177" s="26"/>
      <c r="C177" s="17" t="s">
        <v>151</v>
      </c>
      <c r="D177" s="37" t="s">
        <v>658</v>
      </c>
      <c r="E177" s="36" t="s">
        <v>632</v>
      </c>
      <c r="F177" s="38"/>
      <c r="I177" s="57"/>
      <c r="J177" s="57"/>
      <c r="M177" s="15"/>
    </row>
    <row r="178" ht="63.0" customHeight="1">
      <c r="A178" s="26"/>
      <c r="B178" s="26"/>
      <c r="C178" s="17" t="s">
        <v>151</v>
      </c>
      <c r="D178" s="37" t="s">
        <v>659</v>
      </c>
      <c r="E178" s="36" t="s">
        <v>632</v>
      </c>
      <c r="F178" s="38"/>
      <c r="I178" s="57"/>
      <c r="J178" s="57"/>
      <c r="M178" s="15"/>
    </row>
    <row r="179" ht="63.0" customHeight="1">
      <c r="A179" s="26"/>
      <c r="B179" s="26"/>
      <c r="C179" s="17" t="s">
        <v>151</v>
      </c>
      <c r="D179" s="37" t="s">
        <v>660</v>
      </c>
      <c r="E179" s="36" t="s">
        <v>632</v>
      </c>
      <c r="F179" s="38"/>
      <c r="I179" s="57"/>
      <c r="J179" s="57"/>
      <c r="M179" s="15"/>
    </row>
    <row r="180" ht="63.0" customHeight="1">
      <c r="A180" s="26"/>
      <c r="B180" s="26"/>
      <c r="C180" s="17" t="s">
        <v>151</v>
      </c>
      <c r="D180" s="37" t="s">
        <v>661</v>
      </c>
      <c r="E180" s="36" t="s">
        <v>632</v>
      </c>
      <c r="F180" s="38"/>
      <c r="I180" s="57"/>
      <c r="J180" s="57"/>
      <c r="M180" s="15"/>
    </row>
    <row r="181" ht="63.0" customHeight="1">
      <c r="A181" s="26"/>
      <c r="B181" s="26"/>
      <c r="C181" s="17" t="s">
        <v>151</v>
      </c>
      <c r="D181" s="37" t="s">
        <v>662</v>
      </c>
      <c r="E181" s="36" t="s">
        <v>632</v>
      </c>
      <c r="F181" s="38"/>
      <c r="I181" s="57"/>
      <c r="J181" s="57"/>
      <c r="M181" s="15"/>
    </row>
    <row r="182" ht="63.0" customHeight="1">
      <c r="A182" s="26"/>
      <c r="B182" s="26"/>
      <c r="C182" s="17" t="s">
        <v>151</v>
      </c>
      <c r="D182" s="37" t="s">
        <v>663</v>
      </c>
      <c r="E182" s="36" t="s">
        <v>632</v>
      </c>
      <c r="F182" s="38"/>
      <c r="I182" s="57"/>
      <c r="J182" s="57"/>
      <c r="M182" s="15"/>
    </row>
    <row r="183" ht="63.0" customHeight="1">
      <c r="A183" s="26"/>
      <c r="B183" s="26"/>
      <c r="C183" s="17" t="s">
        <v>151</v>
      </c>
      <c r="D183" s="37" t="s">
        <v>664</v>
      </c>
      <c r="E183" s="36" t="s">
        <v>632</v>
      </c>
      <c r="F183" s="38"/>
      <c r="I183" s="57"/>
      <c r="J183" s="57"/>
      <c r="M183" s="15"/>
    </row>
    <row r="184" ht="63.0" customHeight="1">
      <c r="A184" s="26"/>
      <c r="B184" s="26"/>
      <c r="C184" s="17" t="s">
        <v>151</v>
      </c>
      <c r="D184" s="37" t="s">
        <v>665</v>
      </c>
      <c r="E184" s="36" t="s">
        <v>632</v>
      </c>
      <c r="F184" s="38"/>
      <c r="I184" s="57"/>
      <c r="J184" s="57"/>
      <c r="M184" s="15"/>
    </row>
    <row r="185" ht="63.0" customHeight="1">
      <c r="A185" s="26"/>
      <c r="B185" s="26"/>
      <c r="C185" s="17" t="s">
        <v>151</v>
      </c>
      <c r="D185" s="37" t="s">
        <v>666</v>
      </c>
      <c r="E185" s="36" t="s">
        <v>632</v>
      </c>
      <c r="F185" s="38"/>
      <c r="I185" s="57"/>
      <c r="J185" s="57"/>
      <c r="M185" s="15"/>
    </row>
    <row r="186" ht="63.0" customHeight="1">
      <c r="A186" s="26"/>
      <c r="B186" s="26"/>
      <c r="C186" s="17" t="s">
        <v>151</v>
      </c>
      <c r="D186" s="37" t="s">
        <v>667</v>
      </c>
      <c r="E186" s="36" t="s">
        <v>632</v>
      </c>
      <c r="F186" s="38"/>
      <c r="I186" s="57"/>
      <c r="J186" s="57"/>
      <c r="M186" s="15"/>
    </row>
    <row r="187" ht="63.0" customHeight="1">
      <c r="A187" s="26"/>
      <c r="B187" s="26"/>
      <c r="C187" s="17" t="s">
        <v>151</v>
      </c>
      <c r="D187" s="37" t="s">
        <v>668</v>
      </c>
      <c r="E187" s="36" t="s">
        <v>632</v>
      </c>
      <c r="F187" s="38"/>
      <c r="I187" s="57"/>
      <c r="J187" s="57"/>
      <c r="M187" s="15"/>
    </row>
    <row r="188" ht="63.0" customHeight="1">
      <c r="A188" s="26"/>
      <c r="B188" s="26"/>
      <c r="C188" s="17" t="s">
        <v>151</v>
      </c>
      <c r="D188" s="37" t="s">
        <v>669</v>
      </c>
      <c r="E188" s="36" t="s">
        <v>632</v>
      </c>
      <c r="F188" s="38"/>
      <c r="I188" s="57"/>
      <c r="J188" s="57"/>
      <c r="M188" s="15"/>
    </row>
    <row r="189" ht="63.0" customHeight="1">
      <c r="A189" s="26"/>
      <c r="B189" s="26"/>
      <c r="C189" s="17" t="s">
        <v>151</v>
      </c>
      <c r="D189" s="37" t="s">
        <v>670</v>
      </c>
      <c r="E189" s="36" t="s">
        <v>632</v>
      </c>
      <c r="F189" s="38"/>
      <c r="I189" s="57"/>
      <c r="J189" s="57"/>
      <c r="M189" s="15"/>
    </row>
    <row r="190" ht="63.0" customHeight="1">
      <c r="A190" s="26"/>
      <c r="B190" s="26"/>
      <c r="C190" s="17" t="s">
        <v>151</v>
      </c>
      <c r="D190" s="37" t="s">
        <v>671</v>
      </c>
      <c r="E190" s="36" t="s">
        <v>632</v>
      </c>
      <c r="F190" s="38"/>
      <c r="I190" s="57"/>
      <c r="J190" s="57"/>
      <c r="M190" s="15"/>
    </row>
    <row r="191" ht="63.0" customHeight="1">
      <c r="A191" s="26"/>
      <c r="B191" s="26"/>
      <c r="C191" s="17" t="s">
        <v>151</v>
      </c>
      <c r="D191" s="37" t="s">
        <v>672</v>
      </c>
      <c r="E191" s="36" t="s">
        <v>673</v>
      </c>
      <c r="F191" s="38"/>
      <c r="I191" s="57"/>
      <c r="J191" s="57"/>
      <c r="M191" s="15"/>
    </row>
    <row r="192" ht="63.0" customHeight="1">
      <c r="A192" s="26"/>
      <c r="B192" s="26"/>
      <c r="C192" s="17" t="s">
        <v>151</v>
      </c>
      <c r="D192" s="37" t="s">
        <v>674</v>
      </c>
      <c r="E192" s="36" t="s">
        <v>632</v>
      </c>
      <c r="F192" s="38"/>
      <c r="I192" s="57"/>
      <c r="J192" s="57"/>
      <c r="M192" s="15"/>
    </row>
    <row r="193" ht="63.0" customHeight="1">
      <c r="A193" s="26"/>
      <c r="B193" s="26"/>
      <c r="C193" s="17" t="s">
        <v>151</v>
      </c>
      <c r="D193" s="37" t="s">
        <v>675</v>
      </c>
      <c r="E193" s="36" t="s">
        <v>632</v>
      </c>
      <c r="F193" s="38"/>
      <c r="I193" s="57"/>
      <c r="J193" s="57"/>
      <c r="M193" s="15"/>
    </row>
    <row r="194" ht="63.0" customHeight="1">
      <c r="A194" s="26"/>
      <c r="B194" s="26"/>
      <c r="C194" s="17" t="s">
        <v>151</v>
      </c>
      <c r="D194" s="37" t="s">
        <v>676</v>
      </c>
      <c r="E194" s="36" t="s">
        <v>478</v>
      </c>
      <c r="F194" s="38"/>
      <c r="I194" s="57"/>
      <c r="J194" s="57"/>
      <c r="M194" s="15"/>
    </row>
    <row r="195" ht="63.0" customHeight="1">
      <c r="A195" s="26"/>
      <c r="B195" s="26"/>
      <c r="C195" s="17" t="s">
        <v>151</v>
      </c>
      <c r="D195" s="37" t="s">
        <v>677</v>
      </c>
      <c r="E195" s="36" t="s">
        <v>632</v>
      </c>
      <c r="F195" s="38"/>
      <c r="I195" s="57"/>
      <c r="J195" s="57"/>
      <c r="M195" s="15"/>
    </row>
    <row r="196" ht="63.0" customHeight="1">
      <c r="A196" s="26"/>
      <c r="B196" s="26"/>
      <c r="C196" s="17" t="s">
        <v>151</v>
      </c>
      <c r="D196" s="37" t="s">
        <v>678</v>
      </c>
      <c r="E196" s="36" t="s">
        <v>632</v>
      </c>
      <c r="F196" s="38"/>
      <c r="I196" s="57"/>
      <c r="J196" s="57"/>
      <c r="M196" s="15"/>
    </row>
    <row r="197" ht="63.0" customHeight="1">
      <c r="A197" s="26"/>
      <c r="B197" s="26"/>
      <c r="C197" s="17" t="s">
        <v>151</v>
      </c>
      <c r="D197" s="37" t="s">
        <v>679</v>
      </c>
      <c r="E197" s="36" t="s">
        <v>632</v>
      </c>
      <c r="F197" s="38"/>
      <c r="I197" s="57"/>
      <c r="J197" s="57"/>
      <c r="M197" s="15"/>
    </row>
    <row r="198" ht="63.0" customHeight="1">
      <c r="A198" s="26"/>
      <c r="B198" s="26"/>
      <c r="C198" s="17" t="s">
        <v>151</v>
      </c>
      <c r="D198" s="37" t="s">
        <v>680</v>
      </c>
      <c r="E198" s="36" t="s">
        <v>632</v>
      </c>
      <c r="F198" s="38"/>
      <c r="I198" s="57"/>
      <c r="J198" s="57"/>
      <c r="M198" s="15"/>
    </row>
    <row r="199" ht="63.0" customHeight="1">
      <c r="A199" s="26"/>
      <c r="B199" s="26"/>
      <c r="C199" s="17" t="s">
        <v>151</v>
      </c>
      <c r="D199" s="37" t="s">
        <v>681</v>
      </c>
      <c r="E199" s="36" t="s">
        <v>632</v>
      </c>
      <c r="F199" s="38"/>
      <c r="I199" s="57"/>
      <c r="J199" s="57"/>
      <c r="M199" s="15"/>
    </row>
    <row r="200" ht="63.0" customHeight="1">
      <c r="A200" s="26"/>
      <c r="B200" s="26"/>
      <c r="C200" s="17" t="s">
        <v>151</v>
      </c>
      <c r="D200" s="37" t="s">
        <v>682</v>
      </c>
      <c r="E200" s="36" t="s">
        <v>632</v>
      </c>
      <c r="F200" s="38"/>
      <c r="I200" s="57"/>
      <c r="J200" s="57"/>
      <c r="M200" s="15"/>
    </row>
    <row r="201" ht="63.0" customHeight="1">
      <c r="A201" s="26"/>
      <c r="B201" s="26"/>
      <c r="C201" s="17" t="s">
        <v>151</v>
      </c>
      <c r="D201" s="37" t="s">
        <v>683</v>
      </c>
      <c r="E201" s="36" t="s">
        <v>673</v>
      </c>
      <c r="F201" s="38"/>
      <c r="I201" s="57"/>
      <c r="J201" s="57"/>
      <c r="M201" s="15"/>
    </row>
    <row r="202" ht="63.0" customHeight="1">
      <c r="A202" s="26"/>
      <c r="B202" s="26"/>
      <c r="C202" s="17" t="s">
        <v>151</v>
      </c>
      <c r="D202" s="37" t="s">
        <v>684</v>
      </c>
      <c r="E202" s="36" t="s">
        <v>673</v>
      </c>
      <c r="F202" s="38"/>
      <c r="I202" s="57"/>
      <c r="J202" s="57"/>
      <c r="M202" s="15"/>
    </row>
    <row r="203" ht="63.0" customHeight="1">
      <c r="A203" s="26"/>
      <c r="B203" s="26"/>
      <c r="C203" s="17" t="s">
        <v>151</v>
      </c>
      <c r="D203" s="37" t="s">
        <v>685</v>
      </c>
      <c r="E203" s="36" t="s">
        <v>632</v>
      </c>
      <c r="F203" s="38"/>
      <c r="I203" s="57"/>
      <c r="J203" s="57"/>
      <c r="M203" s="15"/>
    </row>
    <row r="204" ht="63.0" customHeight="1">
      <c r="A204" s="26"/>
      <c r="B204" s="26"/>
      <c r="C204" s="17" t="s">
        <v>151</v>
      </c>
      <c r="D204" s="37" t="s">
        <v>686</v>
      </c>
      <c r="E204" s="36" t="s">
        <v>632</v>
      </c>
      <c r="F204" s="38"/>
      <c r="I204" s="57"/>
      <c r="J204" s="57"/>
      <c r="M204" s="15"/>
    </row>
    <row r="205" ht="63.0" customHeight="1">
      <c r="A205" s="26"/>
      <c r="B205" s="26"/>
      <c r="C205" s="17" t="s">
        <v>151</v>
      </c>
      <c r="D205" s="37" t="s">
        <v>686</v>
      </c>
      <c r="E205" s="36" t="s">
        <v>632</v>
      </c>
      <c r="F205" s="38"/>
      <c r="I205" s="57"/>
      <c r="J205" s="57"/>
      <c r="M205" s="15"/>
    </row>
    <row r="206" ht="63.0" customHeight="1">
      <c r="A206" s="26"/>
      <c r="B206" s="26"/>
      <c r="C206" s="17" t="s">
        <v>151</v>
      </c>
      <c r="D206" s="37" t="s">
        <v>687</v>
      </c>
      <c r="E206" s="36" t="s">
        <v>632</v>
      </c>
      <c r="F206" s="38"/>
      <c r="I206" s="57"/>
      <c r="J206" s="57"/>
      <c r="M206" s="15"/>
    </row>
    <row r="207" ht="63.0" customHeight="1">
      <c r="A207" s="26"/>
      <c r="B207" s="26"/>
      <c r="C207" s="17" t="s">
        <v>151</v>
      </c>
      <c r="D207" s="37" t="s">
        <v>688</v>
      </c>
      <c r="E207" s="36" t="s">
        <v>632</v>
      </c>
      <c r="F207" s="38"/>
      <c r="I207" s="57"/>
      <c r="J207" s="57"/>
      <c r="M207" s="15"/>
    </row>
    <row r="208" ht="63.0" customHeight="1">
      <c r="A208" s="26"/>
      <c r="B208" s="26"/>
      <c r="C208" s="17" t="s">
        <v>151</v>
      </c>
      <c r="D208" s="37" t="s">
        <v>689</v>
      </c>
      <c r="E208" s="36" t="s">
        <v>632</v>
      </c>
      <c r="F208" s="38"/>
      <c r="I208" s="57"/>
      <c r="J208" s="57"/>
      <c r="M208" s="15"/>
    </row>
    <row r="209" ht="63.0" customHeight="1">
      <c r="A209" s="26"/>
      <c r="B209" s="26"/>
      <c r="C209" s="17" t="s">
        <v>151</v>
      </c>
      <c r="D209" s="37" t="s">
        <v>690</v>
      </c>
      <c r="E209" s="36" t="s">
        <v>632</v>
      </c>
      <c r="F209" s="38"/>
      <c r="I209" s="57"/>
      <c r="J209" s="57"/>
      <c r="M209" s="15"/>
    </row>
    <row r="210" ht="63.0" customHeight="1">
      <c r="A210" s="26"/>
      <c r="B210" s="26"/>
      <c r="C210" s="17" t="s">
        <v>151</v>
      </c>
      <c r="D210" s="37" t="s">
        <v>691</v>
      </c>
      <c r="E210" s="36" t="s">
        <v>632</v>
      </c>
      <c r="F210" s="38"/>
      <c r="I210" s="57"/>
      <c r="J210" s="57"/>
      <c r="M210" s="15"/>
    </row>
    <row r="211" ht="63.0" customHeight="1">
      <c r="A211" s="26"/>
      <c r="B211" s="26"/>
      <c r="C211" s="17" t="s">
        <v>151</v>
      </c>
      <c r="D211" s="37" t="s">
        <v>692</v>
      </c>
      <c r="E211" s="36" t="s">
        <v>632</v>
      </c>
      <c r="F211" s="38"/>
      <c r="I211" s="57"/>
      <c r="J211" s="57"/>
      <c r="M211" s="15"/>
    </row>
    <row r="212" ht="63.0" customHeight="1">
      <c r="A212" s="26"/>
      <c r="B212" s="26"/>
      <c r="C212" s="17" t="s">
        <v>151</v>
      </c>
      <c r="D212" s="37" t="s">
        <v>693</v>
      </c>
      <c r="E212" s="36" t="s">
        <v>632</v>
      </c>
      <c r="F212" s="38"/>
      <c r="I212" s="57"/>
      <c r="J212" s="57"/>
      <c r="M212" s="15"/>
    </row>
    <row r="213" ht="63.0" customHeight="1">
      <c r="A213" s="26"/>
      <c r="B213" s="26"/>
      <c r="C213" s="17" t="s">
        <v>151</v>
      </c>
      <c r="D213" s="37" t="s">
        <v>694</v>
      </c>
      <c r="E213" s="36" t="s">
        <v>632</v>
      </c>
      <c r="F213" s="38"/>
      <c r="I213" s="57"/>
      <c r="J213" s="57"/>
      <c r="M213" s="15"/>
    </row>
    <row r="214" ht="63.0" customHeight="1">
      <c r="A214" s="26"/>
      <c r="B214" s="26"/>
      <c r="C214" s="17" t="s">
        <v>151</v>
      </c>
      <c r="D214" s="37" t="s">
        <v>695</v>
      </c>
      <c r="E214" s="36" t="s">
        <v>632</v>
      </c>
      <c r="F214" s="38"/>
      <c r="I214" s="57"/>
      <c r="J214" s="57"/>
      <c r="M214" s="15"/>
    </row>
    <row r="215" ht="63.0" customHeight="1">
      <c r="A215" s="26"/>
      <c r="B215" s="26"/>
      <c r="C215" s="17" t="s">
        <v>151</v>
      </c>
      <c r="D215" s="37" t="s">
        <v>696</v>
      </c>
      <c r="E215" s="36" t="s">
        <v>632</v>
      </c>
      <c r="F215" s="38"/>
      <c r="I215" s="57"/>
      <c r="J215" s="57"/>
      <c r="M215" s="15"/>
    </row>
    <row r="216" ht="63.0" customHeight="1">
      <c r="A216" s="26"/>
      <c r="B216" s="26"/>
      <c r="C216" s="17" t="s">
        <v>151</v>
      </c>
      <c r="D216" s="37" t="s">
        <v>697</v>
      </c>
      <c r="E216" s="36" t="s">
        <v>632</v>
      </c>
      <c r="F216" s="38"/>
      <c r="I216" s="57"/>
      <c r="J216" s="57"/>
      <c r="M216" s="15"/>
    </row>
    <row r="217" ht="63.0" customHeight="1">
      <c r="A217" s="26"/>
      <c r="B217" s="26"/>
      <c r="C217" s="17" t="s">
        <v>151</v>
      </c>
      <c r="D217" s="37" t="s">
        <v>698</v>
      </c>
      <c r="E217" s="36" t="s">
        <v>632</v>
      </c>
      <c r="F217" s="38"/>
      <c r="I217" s="57"/>
      <c r="J217" s="57"/>
      <c r="M217" s="15"/>
    </row>
    <row r="218" ht="63.0" customHeight="1">
      <c r="A218" s="26"/>
      <c r="B218" s="26"/>
      <c r="C218" s="17" t="s">
        <v>151</v>
      </c>
      <c r="D218" s="37" t="s">
        <v>699</v>
      </c>
      <c r="E218" s="36" t="s">
        <v>632</v>
      </c>
      <c r="F218" s="38"/>
      <c r="I218" s="57"/>
      <c r="J218" s="57"/>
      <c r="M218" s="15"/>
    </row>
    <row r="219" ht="63.0" customHeight="1">
      <c r="A219" s="26"/>
      <c r="B219" s="26"/>
      <c r="C219" s="17" t="s">
        <v>151</v>
      </c>
      <c r="D219" s="37" t="s">
        <v>700</v>
      </c>
      <c r="E219" s="36" t="s">
        <v>632</v>
      </c>
      <c r="F219" s="38"/>
      <c r="I219" s="57"/>
      <c r="J219" s="57"/>
      <c r="M219" s="15"/>
    </row>
    <row r="220" ht="63.0" customHeight="1">
      <c r="A220" s="26"/>
      <c r="B220" s="26"/>
      <c r="C220" s="17" t="s">
        <v>151</v>
      </c>
      <c r="D220" s="37" t="s">
        <v>701</v>
      </c>
      <c r="E220" s="36" t="s">
        <v>632</v>
      </c>
      <c r="F220" s="38"/>
      <c r="I220" s="57"/>
      <c r="J220" s="57"/>
      <c r="M220" s="15"/>
    </row>
    <row r="221" ht="63.0" customHeight="1">
      <c r="A221" s="26"/>
      <c r="B221" s="26"/>
      <c r="C221" s="17" t="s">
        <v>151</v>
      </c>
      <c r="D221" s="37" t="s">
        <v>702</v>
      </c>
      <c r="E221" s="36" t="s">
        <v>632</v>
      </c>
      <c r="F221" s="38"/>
      <c r="I221" s="57"/>
      <c r="J221" s="57"/>
      <c r="M221" s="15"/>
    </row>
    <row r="222" ht="63.0" customHeight="1">
      <c r="A222" s="26"/>
      <c r="B222" s="26"/>
      <c r="C222" s="17" t="s">
        <v>151</v>
      </c>
      <c r="D222" s="37" t="s">
        <v>703</v>
      </c>
      <c r="E222" s="36" t="s">
        <v>632</v>
      </c>
      <c r="F222" s="38"/>
      <c r="I222" s="57"/>
      <c r="J222" s="57"/>
      <c r="M222" s="15"/>
    </row>
    <row r="223" ht="63.0" customHeight="1">
      <c r="A223" s="26"/>
      <c r="B223" s="26"/>
      <c r="C223" s="17" t="s">
        <v>151</v>
      </c>
      <c r="D223" s="37" t="s">
        <v>704</v>
      </c>
      <c r="E223" s="36" t="s">
        <v>632</v>
      </c>
      <c r="F223" s="38"/>
      <c r="I223" s="57"/>
      <c r="J223" s="57"/>
      <c r="M223" s="15"/>
    </row>
    <row r="224" ht="63.0" customHeight="1">
      <c r="A224" s="26"/>
      <c r="B224" s="26"/>
      <c r="C224" s="17" t="s">
        <v>151</v>
      </c>
      <c r="D224" s="37" t="s">
        <v>705</v>
      </c>
      <c r="E224" s="36" t="s">
        <v>632</v>
      </c>
      <c r="F224" s="38"/>
      <c r="I224" s="57"/>
      <c r="J224" s="57"/>
      <c r="M224" s="15"/>
    </row>
    <row r="225" ht="63.0" customHeight="1">
      <c r="A225" s="26"/>
      <c r="B225" s="26"/>
      <c r="C225" s="17" t="s">
        <v>151</v>
      </c>
      <c r="D225" s="37" t="s">
        <v>706</v>
      </c>
      <c r="E225" s="36" t="s">
        <v>673</v>
      </c>
      <c r="F225" s="38"/>
      <c r="I225" s="57"/>
      <c r="J225" s="57"/>
      <c r="M225" s="15"/>
    </row>
    <row r="226" ht="63.0" customHeight="1">
      <c r="A226" s="26"/>
      <c r="B226" s="26"/>
      <c r="C226" s="17" t="s">
        <v>151</v>
      </c>
      <c r="D226" s="37" t="s">
        <v>707</v>
      </c>
      <c r="E226" s="36" t="s">
        <v>632</v>
      </c>
      <c r="F226" s="38"/>
      <c r="I226" s="57"/>
      <c r="J226" s="57"/>
      <c r="M226" s="15"/>
    </row>
    <row r="227" ht="63.0" customHeight="1">
      <c r="A227" s="26"/>
      <c r="B227" s="26"/>
      <c r="C227" s="17" t="s">
        <v>151</v>
      </c>
      <c r="D227" s="37" t="s">
        <v>708</v>
      </c>
      <c r="E227" s="36" t="s">
        <v>632</v>
      </c>
      <c r="F227" s="38"/>
      <c r="I227" s="57"/>
      <c r="J227" s="57"/>
      <c r="M227" s="15"/>
    </row>
    <row r="228" ht="63.0" customHeight="1">
      <c r="A228" s="26"/>
      <c r="B228" s="26"/>
      <c r="C228" s="17" t="s">
        <v>151</v>
      </c>
      <c r="D228" s="37" t="s">
        <v>709</v>
      </c>
      <c r="E228" s="36" t="s">
        <v>632</v>
      </c>
      <c r="F228" s="38"/>
      <c r="I228" s="57"/>
      <c r="J228" s="57"/>
      <c r="M228" s="15"/>
    </row>
    <row r="229" ht="63.0" customHeight="1">
      <c r="A229" s="26"/>
      <c r="B229" s="26"/>
      <c r="C229" s="17" t="s">
        <v>151</v>
      </c>
      <c r="D229" s="37" t="s">
        <v>710</v>
      </c>
      <c r="E229" s="36" t="s">
        <v>632</v>
      </c>
      <c r="F229" s="38"/>
      <c r="I229" s="57"/>
      <c r="J229" s="57"/>
      <c r="M229" s="15"/>
    </row>
    <row r="230" ht="63.0" customHeight="1">
      <c r="A230" s="26"/>
      <c r="B230" s="26"/>
      <c r="C230" s="17" t="s">
        <v>151</v>
      </c>
      <c r="D230" s="37" t="s">
        <v>711</v>
      </c>
      <c r="E230" s="36" t="s">
        <v>673</v>
      </c>
      <c r="F230" s="38"/>
      <c r="I230" s="57"/>
      <c r="J230" s="57"/>
      <c r="M230" s="15"/>
    </row>
    <row r="231" ht="63.0" customHeight="1">
      <c r="A231" s="26"/>
      <c r="B231" s="26"/>
      <c r="C231" s="17" t="s">
        <v>151</v>
      </c>
      <c r="D231" s="37" t="s">
        <v>712</v>
      </c>
      <c r="E231" s="36" t="s">
        <v>632</v>
      </c>
      <c r="F231" s="38"/>
      <c r="I231" s="57"/>
      <c r="J231" s="57"/>
      <c r="M231" s="15"/>
    </row>
    <row r="232" ht="63.0" customHeight="1">
      <c r="A232" s="26"/>
      <c r="B232" s="26"/>
      <c r="C232" s="17" t="s">
        <v>151</v>
      </c>
      <c r="D232" s="37" t="s">
        <v>713</v>
      </c>
      <c r="E232" s="36" t="s">
        <v>632</v>
      </c>
      <c r="F232" s="38"/>
      <c r="I232" s="57"/>
      <c r="J232" s="57"/>
      <c r="M232" s="15"/>
    </row>
    <row r="233" ht="63.0" customHeight="1">
      <c r="A233" s="26"/>
      <c r="B233" s="26"/>
      <c r="C233" s="17" t="s">
        <v>151</v>
      </c>
      <c r="D233" s="37" t="s">
        <v>714</v>
      </c>
      <c r="E233" s="36" t="s">
        <v>632</v>
      </c>
      <c r="F233" s="38"/>
      <c r="I233" s="57"/>
      <c r="J233" s="57"/>
      <c r="M233" s="15"/>
    </row>
    <row r="234" ht="63.0" customHeight="1">
      <c r="A234" s="26"/>
      <c r="B234" s="26"/>
      <c r="C234" s="17" t="s">
        <v>151</v>
      </c>
      <c r="D234" s="37" t="s">
        <v>715</v>
      </c>
      <c r="E234" s="36" t="s">
        <v>632</v>
      </c>
      <c r="F234" s="38"/>
      <c r="I234" s="57"/>
      <c r="J234" s="57"/>
      <c r="M234" s="15"/>
    </row>
    <row r="235" ht="63.0" customHeight="1">
      <c r="A235" s="26"/>
      <c r="B235" s="26"/>
      <c r="C235" s="17" t="s">
        <v>151</v>
      </c>
      <c r="D235" s="37" t="s">
        <v>716</v>
      </c>
      <c r="E235" s="36" t="s">
        <v>632</v>
      </c>
      <c r="F235" s="38"/>
      <c r="I235" s="57"/>
      <c r="J235" s="57"/>
      <c r="M235" s="15"/>
    </row>
    <row r="236" ht="63.0" customHeight="1">
      <c r="A236" s="26"/>
      <c r="B236" s="26"/>
      <c r="C236" s="17" t="s">
        <v>151</v>
      </c>
      <c r="D236" s="37" t="s">
        <v>717</v>
      </c>
      <c r="E236" s="36" t="s">
        <v>632</v>
      </c>
      <c r="F236" s="38"/>
      <c r="I236" s="57"/>
      <c r="J236" s="57"/>
      <c r="M236" s="15"/>
    </row>
    <row r="237" ht="63.0" customHeight="1">
      <c r="A237" s="26"/>
      <c r="B237" s="26"/>
      <c r="C237" s="17" t="s">
        <v>151</v>
      </c>
      <c r="D237" s="37" t="s">
        <v>718</v>
      </c>
      <c r="E237" s="36" t="s">
        <v>632</v>
      </c>
      <c r="F237" s="38"/>
      <c r="I237" s="57"/>
      <c r="J237" s="57"/>
      <c r="M237" s="15"/>
    </row>
    <row r="238" ht="63.0" customHeight="1">
      <c r="A238" s="26"/>
      <c r="B238" s="26"/>
      <c r="C238" s="17" t="s">
        <v>151</v>
      </c>
      <c r="D238" s="37" t="s">
        <v>719</v>
      </c>
      <c r="E238" s="36" t="s">
        <v>632</v>
      </c>
      <c r="F238" s="38"/>
      <c r="I238" s="57"/>
      <c r="J238" s="57"/>
      <c r="M238" s="15"/>
    </row>
    <row r="239" ht="63.0" customHeight="1">
      <c r="A239" s="26"/>
      <c r="B239" s="26"/>
      <c r="C239" s="17" t="s">
        <v>151</v>
      </c>
      <c r="D239" s="37" t="s">
        <v>720</v>
      </c>
      <c r="E239" s="36" t="s">
        <v>632</v>
      </c>
      <c r="F239" s="38"/>
      <c r="I239" s="57"/>
      <c r="J239" s="57"/>
      <c r="M239" s="15"/>
    </row>
    <row r="240" ht="63.0" customHeight="1">
      <c r="A240" s="26"/>
      <c r="B240" s="26"/>
      <c r="C240" s="17" t="s">
        <v>151</v>
      </c>
      <c r="D240" s="37" t="s">
        <v>721</v>
      </c>
      <c r="E240" s="36" t="s">
        <v>632</v>
      </c>
      <c r="F240" s="38"/>
      <c r="I240" s="57"/>
      <c r="J240" s="57"/>
      <c r="M240" s="15"/>
    </row>
    <row r="241" ht="63.0" customHeight="1">
      <c r="A241" s="26"/>
      <c r="B241" s="26"/>
      <c r="C241" s="17" t="s">
        <v>151</v>
      </c>
      <c r="D241" s="37" t="s">
        <v>722</v>
      </c>
      <c r="E241" s="36" t="s">
        <v>478</v>
      </c>
      <c r="F241" s="38"/>
      <c r="I241" s="57"/>
      <c r="J241" s="57"/>
      <c r="M241" s="15"/>
    </row>
    <row r="242" ht="63.0" customHeight="1">
      <c r="A242" s="26"/>
      <c r="B242" s="26"/>
      <c r="C242" s="17" t="s">
        <v>151</v>
      </c>
      <c r="D242" s="37" t="s">
        <v>723</v>
      </c>
      <c r="E242" s="36" t="s">
        <v>478</v>
      </c>
      <c r="F242" s="38"/>
      <c r="I242" s="57"/>
      <c r="J242" s="57"/>
      <c r="M242" s="15"/>
    </row>
    <row r="243" ht="63.0" customHeight="1">
      <c r="A243" s="26"/>
      <c r="B243" s="26"/>
      <c r="C243" s="17" t="s">
        <v>151</v>
      </c>
      <c r="D243" s="37" t="s">
        <v>724</v>
      </c>
      <c r="E243" s="36" t="s">
        <v>632</v>
      </c>
      <c r="F243" s="38"/>
      <c r="I243" s="57"/>
      <c r="J243" s="57"/>
      <c r="M243" s="15"/>
    </row>
    <row r="244" ht="63.0" customHeight="1">
      <c r="A244" s="26"/>
      <c r="B244" s="26"/>
      <c r="C244" s="17" t="s">
        <v>151</v>
      </c>
      <c r="D244" s="37" t="s">
        <v>725</v>
      </c>
      <c r="E244" s="36" t="s">
        <v>632</v>
      </c>
      <c r="F244" s="38"/>
      <c r="I244" s="57"/>
      <c r="J244" s="57"/>
      <c r="M244" s="15"/>
    </row>
    <row r="245" ht="63.0" customHeight="1">
      <c r="A245" s="26"/>
      <c r="B245" s="26"/>
      <c r="C245" s="17" t="s">
        <v>151</v>
      </c>
      <c r="D245" s="37" t="s">
        <v>726</v>
      </c>
      <c r="E245" s="36" t="s">
        <v>632</v>
      </c>
      <c r="F245" s="38"/>
      <c r="I245" s="57"/>
      <c r="J245" s="57"/>
      <c r="M245" s="15"/>
    </row>
    <row r="246" ht="63.0" customHeight="1">
      <c r="A246" s="26"/>
      <c r="B246" s="26"/>
      <c r="C246" s="17" t="s">
        <v>151</v>
      </c>
      <c r="D246" s="37" t="s">
        <v>726</v>
      </c>
      <c r="E246" s="36" t="s">
        <v>632</v>
      </c>
      <c r="F246" s="38"/>
      <c r="I246" s="57"/>
      <c r="J246" s="57"/>
      <c r="M246" s="15"/>
    </row>
    <row r="247" ht="63.0" customHeight="1">
      <c r="A247" s="26"/>
      <c r="B247" s="26"/>
      <c r="C247" s="17" t="s">
        <v>151</v>
      </c>
      <c r="D247" s="37" t="s">
        <v>727</v>
      </c>
      <c r="E247" s="36" t="s">
        <v>632</v>
      </c>
      <c r="F247" s="38"/>
      <c r="I247" s="57"/>
      <c r="J247" s="57"/>
      <c r="M247" s="15"/>
    </row>
    <row r="248" ht="63.0" customHeight="1">
      <c r="A248" s="26"/>
      <c r="B248" s="26"/>
      <c r="C248" s="17" t="s">
        <v>151</v>
      </c>
      <c r="D248" s="37" t="s">
        <v>728</v>
      </c>
      <c r="E248" s="36" t="s">
        <v>632</v>
      </c>
      <c r="F248" s="38"/>
      <c r="I248" s="57"/>
      <c r="J248" s="57"/>
      <c r="M248" s="15"/>
    </row>
    <row r="249" ht="63.0" customHeight="1">
      <c r="A249" s="26"/>
      <c r="B249" s="26"/>
      <c r="C249" s="17" t="s">
        <v>151</v>
      </c>
      <c r="D249" s="37" t="s">
        <v>729</v>
      </c>
      <c r="E249" s="36" t="s">
        <v>632</v>
      </c>
      <c r="F249" s="38"/>
      <c r="I249" s="57"/>
      <c r="J249" s="57"/>
      <c r="M249" s="15"/>
    </row>
    <row r="250" ht="63.0" customHeight="1">
      <c r="A250" s="26"/>
      <c r="B250" s="26"/>
      <c r="C250" s="17" t="s">
        <v>151</v>
      </c>
      <c r="D250" s="37" t="s">
        <v>730</v>
      </c>
      <c r="E250" s="36" t="s">
        <v>478</v>
      </c>
      <c r="F250" s="38"/>
      <c r="I250" s="57"/>
      <c r="J250" s="57"/>
      <c r="M250" s="15"/>
    </row>
    <row r="251" ht="63.0" customHeight="1">
      <c r="A251" s="26"/>
      <c r="B251" s="26"/>
      <c r="C251" s="17" t="s">
        <v>151</v>
      </c>
      <c r="D251" s="37" t="s">
        <v>731</v>
      </c>
      <c r="E251" s="36" t="s">
        <v>478</v>
      </c>
      <c r="F251" s="38"/>
      <c r="I251" s="57"/>
      <c r="J251" s="57"/>
      <c r="M251" s="15"/>
    </row>
    <row r="252" ht="63.0" customHeight="1">
      <c r="A252" s="26"/>
      <c r="B252" s="26"/>
      <c r="C252" s="17" t="s">
        <v>151</v>
      </c>
      <c r="D252" s="37" t="s">
        <v>732</v>
      </c>
      <c r="E252" s="36" t="s">
        <v>478</v>
      </c>
      <c r="F252" s="38"/>
      <c r="I252" s="57"/>
      <c r="J252" s="57"/>
      <c r="M252" s="15"/>
    </row>
    <row r="253" ht="63.0" customHeight="1">
      <c r="A253" s="26"/>
      <c r="B253" s="26"/>
      <c r="C253" s="17" t="s">
        <v>151</v>
      </c>
      <c r="D253" s="37" t="s">
        <v>732</v>
      </c>
      <c r="E253" s="36" t="s">
        <v>478</v>
      </c>
      <c r="F253" s="38"/>
      <c r="I253" s="57"/>
      <c r="J253" s="57"/>
      <c r="M253" s="15"/>
    </row>
    <row r="254" ht="63.0" customHeight="1">
      <c r="A254" s="26"/>
      <c r="B254" s="26"/>
      <c r="C254" s="17" t="s">
        <v>151</v>
      </c>
      <c r="D254" s="37" t="s">
        <v>733</v>
      </c>
      <c r="E254" s="36" t="s">
        <v>478</v>
      </c>
      <c r="F254" s="38"/>
      <c r="I254" s="57"/>
      <c r="J254" s="57"/>
      <c r="M254" s="15"/>
    </row>
    <row r="255" ht="63.0" customHeight="1">
      <c r="A255" s="26"/>
      <c r="B255" s="26"/>
      <c r="C255" s="17" t="s">
        <v>151</v>
      </c>
      <c r="D255" s="37" t="s">
        <v>734</v>
      </c>
      <c r="E255" s="36" t="s">
        <v>632</v>
      </c>
      <c r="F255" s="38"/>
      <c r="I255" s="57"/>
      <c r="J255" s="57"/>
      <c r="M255" s="15"/>
    </row>
    <row r="256" ht="63.0" customHeight="1">
      <c r="A256" s="26"/>
      <c r="B256" s="26"/>
      <c r="C256" s="17" t="s">
        <v>151</v>
      </c>
      <c r="D256" s="37" t="s">
        <v>735</v>
      </c>
      <c r="E256" s="36" t="s">
        <v>632</v>
      </c>
      <c r="F256" s="38"/>
      <c r="I256" s="57"/>
      <c r="J256" s="57"/>
      <c r="M256" s="15"/>
    </row>
    <row r="257" ht="63.0" customHeight="1">
      <c r="A257" s="26"/>
      <c r="B257" s="26"/>
      <c r="C257" s="17" t="s">
        <v>151</v>
      </c>
      <c r="D257" s="37" t="s">
        <v>736</v>
      </c>
      <c r="E257" s="36" t="s">
        <v>632</v>
      </c>
      <c r="F257" s="38"/>
      <c r="I257" s="57"/>
      <c r="J257" s="57"/>
      <c r="M257" s="15"/>
    </row>
    <row r="258" ht="63.0" customHeight="1">
      <c r="A258" s="26"/>
      <c r="B258" s="26"/>
      <c r="C258" s="17" t="s">
        <v>151</v>
      </c>
      <c r="D258" s="37" t="s">
        <v>736</v>
      </c>
      <c r="E258" s="36" t="s">
        <v>632</v>
      </c>
      <c r="F258" s="38"/>
      <c r="I258" s="57"/>
      <c r="J258" s="57"/>
      <c r="M258" s="15"/>
    </row>
    <row r="259" ht="63.0" customHeight="1">
      <c r="A259" s="26"/>
      <c r="B259" s="26"/>
      <c r="C259" s="17" t="s">
        <v>151</v>
      </c>
      <c r="D259" s="37" t="s">
        <v>737</v>
      </c>
      <c r="E259" s="36" t="s">
        <v>632</v>
      </c>
      <c r="F259" s="38"/>
      <c r="I259" s="57"/>
      <c r="J259" s="57"/>
      <c r="M259" s="15"/>
    </row>
    <row r="260" ht="63.0" customHeight="1">
      <c r="A260" s="26"/>
      <c r="B260" s="26"/>
      <c r="C260" s="17" t="s">
        <v>151</v>
      </c>
      <c r="D260" s="37" t="s">
        <v>738</v>
      </c>
      <c r="E260" s="36" t="s">
        <v>632</v>
      </c>
      <c r="F260" s="38"/>
      <c r="I260" s="57"/>
      <c r="J260" s="57"/>
      <c r="M260" s="15"/>
    </row>
    <row r="261" ht="63.0" customHeight="1">
      <c r="A261" s="26"/>
      <c r="B261" s="26"/>
      <c r="C261" s="17" t="s">
        <v>151</v>
      </c>
      <c r="D261" s="37" t="s">
        <v>739</v>
      </c>
      <c r="E261" s="36" t="s">
        <v>632</v>
      </c>
      <c r="F261" s="38"/>
      <c r="I261" s="57"/>
      <c r="J261" s="57"/>
      <c r="M261" s="15"/>
    </row>
    <row r="262" ht="63.0" customHeight="1">
      <c r="A262" s="26"/>
      <c r="B262" s="26"/>
      <c r="C262" s="17" t="s">
        <v>151</v>
      </c>
      <c r="D262" s="37" t="s">
        <v>739</v>
      </c>
      <c r="E262" s="36" t="s">
        <v>632</v>
      </c>
      <c r="F262" s="38"/>
      <c r="I262" s="57"/>
      <c r="J262" s="57"/>
      <c r="M262" s="15"/>
    </row>
    <row r="263" ht="63.0" customHeight="1">
      <c r="A263" s="26"/>
      <c r="B263" s="26"/>
      <c r="C263" s="17" t="s">
        <v>151</v>
      </c>
      <c r="D263" s="37" t="s">
        <v>740</v>
      </c>
      <c r="E263" s="36" t="s">
        <v>632</v>
      </c>
      <c r="F263" s="38"/>
      <c r="I263" s="57"/>
      <c r="J263" s="57"/>
      <c r="M263" s="15"/>
    </row>
    <row r="264" ht="63.0" customHeight="1">
      <c r="A264" s="26"/>
      <c r="B264" s="26"/>
      <c r="C264" s="17" t="s">
        <v>151</v>
      </c>
      <c r="D264" s="37" t="s">
        <v>741</v>
      </c>
      <c r="E264" s="36" t="s">
        <v>632</v>
      </c>
      <c r="F264" s="38"/>
      <c r="I264" s="57"/>
      <c r="J264" s="57"/>
      <c r="M264" s="15"/>
    </row>
    <row r="265" ht="63.0" customHeight="1">
      <c r="A265" s="26"/>
      <c r="B265" s="26"/>
      <c r="C265" s="17" t="s">
        <v>151</v>
      </c>
      <c r="D265" s="37" t="s">
        <v>742</v>
      </c>
      <c r="E265" s="36" t="s">
        <v>632</v>
      </c>
      <c r="F265" s="38"/>
      <c r="I265" s="57"/>
      <c r="J265" s="57"/>
      <c r="M265" s="15"/>
    </row>
    <row r="266" ht="63.0" customHeight="1">
      <c r="A266" s="26"/>
      <c r="B266" s="26"/>
      <c r="C266" s="17" t="s">
        <v>151</v>
      </c>
      <c r="D266" s="37" t="s">
        <v>743</v>
      </c>
      <c r="E266" s="36" t="s">
        <v>632</v>
      </c>
      <c r="F266" s="38"/>
      <c r="I266" s="57"/>
      <c r="J266" s="57"/>
      <c r="M266" s="15"/>
    </row>
    <row r="267" ht="63.0" customHeight="1">
      <c r="A267" s="26"/>
      <c r="B267" s="26"/>
      <c r="C267" s="17" t="s">
        <v>151</v>
      </c>
      <c r="D267" s="37" t="s">
        <v>744</v>
      </c>
      <c r="E267" s="36" t="s">
        <v>632</v>
      </c>
      <c r="F267" s="38"/>
      <c r="I267" s="57"/>
      <c r="J267" s="57"/>
      <c r="M267" s="15"/>
    </row>
    <row r="268" ht="63.0" customHeight="1">
      <c r="A268" s="26"/>
      <c r="B268" s="26"/>
      <c r="C268" s="17" t="s">
        <v>151</v>
      </c>
      <c r="D268" s="37" t="s">
        <v>745</v>
      </c>
      <c r="E268" s="36" t="s">
        <v>632</v>
      </c>
      <c r="F268" s="38"/>
      <c r="I268" s="57"/>
      <c r="J268" s="57"/>
      <c r="M268" s="15"/>
    </row>
    <row r="269" ht="63.0" customHeight="1">
      <c r="A269" s="26"/>
      <c r="B269" s="26"/>
      <c r="C269" s="17" t="s">
        <v>151</v>
      </c>
      <c r="D269" s="37" t="s">
        <v>746</v>
      </c>
      <c r="E269" s="36" t="s">
        <v>632</v>
      </c>
      <c r="F269" s="38"/>
      <c r="I269" s="57"/>
      <c r="J269" s="57"/>
      <c r="M269" s="15"/>
    </row>
    <row r="270" ht="63.0" customHeight="1">
      <c r="A270" s="26"/>
      <c r="B270" s="26"/>
      <c r="C270" s="17" t="s">
        <v>151</v>
      </c>
      <c r="D270" s="37" t="s">
        <v>747</v>
      </c>
      <c r="E270" s="36" t="s">
        <v>630</v>
      </c>
      <c r="F270" s="38"/>
      <c r="I270" s="57"/>
      <c r="J270" s="57"/>
      <c r="M270" s="15"/>
    </row>
    <row r="271" ht="63.0" customHeight="1">
      <c r="A271" s="26"/>
      <c r="B271" s="26"/>
      <c r="C271" s="17" t="s">
        <v>151</v>
      </c>
      <c r="D271" s="37" t="s">
        <v>748</v>
      </c>
      <c r="E271" s="36" t="s">
        <v>630</v>
      </c>
      <c r="F271" s="38"/>
      <c r="I271" s="57"/>
      <c r="J271" s="57"/>
      <c r="M271" s="15"/>
    </row>
    <row r="272" ht="63.0" customHeight="1">
      <c r="A272" s="26"/>
      <c r="B272" s="26"/>
      <c r="C272" s="17" t="s">
        <v>151</v>
      </c>
      <c r="D272" s="37" t="s">
        <v>749</v>
      </c>
      <c r="E272" s="36" t="s">
        <v>630</v>
      </c>
      <c r="F272" s="38"/>
      <c r="I272" s="57"/>
      <c r="J272" s="57"/>
      <c r="M272" s="15"/>
    </row>
    <row r="273" ht="63.0" customHeight="1">
      <c r="A273" s="26"/>
      <c r="B273" s="26"/>
      <c r="C273" s="17" t="s">
        <v>151</v>
      </c>
      <c r="D273" s="37" t="s">
        <v>750</v>
      </c>
      <c r="E273" s="36" t="s">
        <v>632</v>
      </c>
      <c r="F273" s="38"/>
      <c r="I273" s="57"/>
      <c r="J273" s="57"/>
      <c r="M273" s="15"/>
    </row>
    <row r="274" ht="63.0" customHeight="1">
      <c r="A274" s="26"/>
      <c r="B274" s="26"/>
      <c r="C274" s="17" t="s">
        <v>151</v>
      </c>
      <c r="D274" s="37" t="s">
        <v>751</v>
      </c>
      <c r="E274" s="36" t="s">
        <v>632</v>
      </c>
      <c r="F274" s="38"/>
      <c r="I274" s="57"/>
      <c r="J274" s="57"/>
      <c r="M274" s="15"/>
    </row>
    <row r="275" ht="63.0" customHeight="1">
      <c r="A275" s="26"/>
      <c r="B275" s="26"/>
      <c r="C275" s="17" t="s">
        <v>151</v>
      </c>
      <c r="D275" s="37" t="s">
        <v>752</v>
      </c>
      <c r="E275" s="36" t="s">
        <v>632</v>
      </c>
      <c r="F275" s="38"/>
      <c r="I275" s="57"/>
      <c r="J275" s="57"/>
      <c r="M275" s="15"/>
    </row>
    <row r="276" ht="63.0" customHeight="1">
      <c r="A276" s="26"/>
      <c r="B276" s="26"/>
      <c r="C276" s="17" t="s">
        <v>151</v>
      </c>
      <c r="D276" s="37" t="s">
        <v>753</v>
      </c>
      <c r="E276" s="36" t="s">
        <v>632</v>
      </c>
      <c r="F276" s="38"/>
      <c r="I276" s="57"/>
      <c r="J276" s="57"/>
      <c r="M276" s="15"/>
    </row>
    <row r="277" ht="63.0" customHeight="1">
      <c r="A277" s="26"/>
      <c r="B277" s="26"/>
      <c r="C277" s="17" t="s">
        <v>151</v>
      </c>
      <c r="D277" s="37" t="s">
        <v>754</v>
      </c>
      <c r="E277" s="36" t="s">
        <v>632</v>
      </c>
      <c r="F277" s="38"/>
      <c r="I277" s="57"/>
      <c r="J277" s="57"/>
      <c r="M277" s="15"/>
    </row>
    <row r="278" ht="63.0" customHeight="1">
      <c r="A278" s="26"/>
      <c r="B278" s="26"/>
      <c r="C278" s="17" t="s">
        <v>151</v>
      </c>
      <c r="D278" s="37" t="s">
        <v>755</v>
      </c>
      <c r="E278" s="36" t="s">
        <v>632</v>
      </c>
      <c r="F278" s="38"/>
      <c r="I278" s="57"/>
      <c r="J278" s="57"/>
      <c r="M278" s="15"/>
    </row>
    <row r="279" ht="63.0" customHeight="1">
      <c r="A279" s="26"/>
      <c r="B279" s="26"/>
      <c r="C279" s="17" t="s">
        <v>151</v>
      </c>
      <c r="D279" s="37" t="s">
        <v>756</v>
      </c>
      <c r="E279" s="36" t="s">
        <v>632</v>
      </c>
      <c r="F279" s="38"/>
      <c r="I279" s="57"/>
      <c r="J279" s="57"/>
      <c r="M279" s="15"/>
    </row>
    <row r="280" ht="63.0" customHeight="1">
      <c r="A280" s="26"/>
      <c r="B280" s="26"/>
      <c r="C280" s="17" t="s">
        <v>151</v>
      </c>
      <c r="D280" s="37" t="s">
        <v>757</v>
      </c>
      <c r="E280" s="36" t="s">
        <v>632</v>
      </c>
      <c r="F280" s="38"/>
      <c r="I280" s="57"/>
      <c r="J280" s="57"/>
      <c r="M280" s="15"/>
    </row>
    <row r="281" ht="63.0" customHeight="1">
      <c r="A281" s="26"/>
      <c r="B281" s="26"/>
      <c r="C281" s="17" t="s">
        <v>151</v>
      </c>
      <c r="D281" s="37" t="s">
        <v>758</v>
      </c>
      <c r="E281" s="36" t="s">
        <v>632</v>
      </c>
      <c r="F281" s="38"/>
      <c r="I281" s="57"/>
      <c r="J281" s="57"/>
      <c r="M281" s="15"/>
    </row>
    <row r="282" ht="63.0" customHeight="1">
      <c r="A282" s="26"/>
      <c r="B282" s="26"/>
      <c r="C282" s="17" t="s">
        <v>151</v>
      </c>
      <c r="D282" s="37" t="s">
        <v>759</v>
      </c>
      <c r="E282" s="36" t="s">
        <v>632</v>
      </c>
      <c r="F282" s="38"/>
      <c r="I282" s="57"/>
      <c r="J282" s="57"/>
      <c r="M282" s="15"/>
    </row>
    <row r="283" ht="63.0" customHeight="1">
      <c r="A283" s="26"/>
      <c r="B283" s="26"/>
      <c r="C283" s="17" t="s">
        <v>151</v>
      </c>
      <c r="D283" s="37" t="s">
        <v>760</v>
      </c>
      <c r="E283" s="36" t="s">
        <v>632</v>
      </c>
      <c r="F283" s="38"/>
      <c r="I283" s="57"/>
      <c r="J283" s="57"/>
      <c r="M283" s="15"/>
    </row>
    <row r="284" ht="63.0" customHeight="1">
      <c r="A284" s="26"/>
      <c r="B284" s="26"/>
      <c r="C284" s="17" t="s">
        <v>151</v>
      </c>
      <c r="D284" s="37" t="s">
        <v>761</v>
      </c>
      <c r="E284" s="36" t="s">
        <v>632</v>
      </c>
      <c r="F284" s="38"/>
      <c r="I284" s="57"/>
      <c r="J284" s="57"/>
      <c r="M284" s="15"/>
    </row>
    <row r="285" ht="63.0" customHeight="1">
      <c r="A285" s="26"/>
      <c r="B285" s="26"/>
      <c r="C285" s="17" t="s">
        <v>151</v>
      </c>
      <c r="D285" s="37" t="s">
        <v>762</v>
      </c>
      <c r="E285" s="36" t="s">
        <v>632</v>
      </c>
      <c r="F285" s="38"/>
      <c r="I285" s="57"/>
      <c r="J285" s="57"/>
      <c r="M285" s="15"/>
    </row>
    <row r="286" ht="63.0" customHeight="1">
      <c r="A286" s="26"/>
      <c r="B286" s="26"/>
      <c r="C286" s="17" t="s">
        <v>151</v>
      </c>
      <c r="D286" s="37" t="s">
        <v>763</v>
      </c>
      <c r="E286" s="36" t="s">
        <v>632</v>
      </c>
      <c r="F286" s="38"/>
      <c r="I286" s="57"/>
      <c r="J286" s="57"/>
      <c r="M286" s="15"/>
    </row>
    <row r="287" ht="63.0" customHeight="1">
      <c r="A287" s="26"/>
      <c r="B287" s="26"/>
      <c r="C287" s="17" t="s">
        <v>151</v>
      </c>
      <c r="D287" s="37" t="s">
        <v>764</v>
      </c>
      <c r="E287" s="36" t="s">
        <v>632</v>
      </c>
      <c r="F287" s="38"/>
      <c r="I287" s="57"/>
      <c r="J287" s="57"/>
      <c r="M287" s="15"/>
    </row>
    <row r="288" ht="63.0" customHeight="1">
      <c r="A288" s="26"/>
      <c r="B288" s="26"/>
      <c r="C288" s="17" t="s">
        <v>151</v>
      </c>
      <c r="D288" s="37" t="s">
        <v>765</v>
      </c>
      <c r="E288" s="36" t="s">
        <v>632</v>
      </c>
      <c r="F288" s="38"/>
      <c r="I288" s="57"/>
      <c r="J288" s="57"/>
      <c r="M288" s="15"/>
    </row>
    <row r="289" ht="63.0" customHeight="1">
      <c r="A289" s="26"/>
      <c r="B289" s="26"/>
      <c r="C289" s="17" t="s">
        <v>151</v>
      </c>
      <c r="D289" s="37" t="s">
        <v>766</v>
      </c>
      <c r="E289" s="36" t="s">
        <v>632</v>
      </c>
      <c r="F289" s="38"/>
      <c r="I289" s="57"/>
      <c r="J289" s="57"/>
      <c r="M289" s="15"/>
    </row>
    <row r="290" ht="63.0" customHeight="1">
      <c r="A290" s="26"/>
      <c r="B290" s="26"/>
      <c r="C290" s="17" t="s">
        <v>151</v>
      </c>
      <c r="D290" s="37" t="s">
        <v>767</v>
      </c>
      <c r="E290" s="36" t="s">
        <v>768</v>
      </c>
      <c r="F290" s="38"/>
      <c r="I290" s="57"/>
      <c r="J290" s="57"/>
      <c r="M290" s="15"/>
    </row>
    <row r="291" ht="63.0" customHeight="1">
      <c r="A291" s="26"/>
      <c r="B291" s="26"/>
      <c r="C291" s="17" t="s">
        <v>151</v>
      </c>
      <c r="D291" s="37" t="s">
        <v>769</v>
      </c>
      <c r="E291" s="36" t="s">
        <v>632</v>
      </c>
      <c r="F291" s="38"/>
      <c r="I291" s="57"/>
      <c r="J291" s="57"/>
      <c r="M291" s="15"/>
    </row>
    <row r="292" ht="63.0" customHeight="1">
      <c r="A292" s="26"/>
      <c r="B292" s="26"/>
      <c r="C292" s="17" t="s">
        <v>151</v>
      </c>
      <c r="D292" s="37" t="s">
        <v>770</v>
      </c>
      <c r="E292" s="36" t="s">
        <v>632</v>
      </c>
      <c r="F292" s="38"/>
      <c r="I292" s="57"/>
      <c r="J292" s="57"/>
      <c r="M292" s="15"/>
    </row>
    <row r="293" ht="63.0" customHeight="1">
      <c r="A293" s="26"/>
      <c r="B293" s="26"/>
      <c r="C293" s="17" t="s">
        <v>151</v>
      </c>
      <c r="D293" s="37" t="s">
        <v>771</v>
      </c>
      <c r="E293" s="36" t="s">
        <v>632</v>
      </c>
      <c r="F293" s="38"/>
      <c r="I293" s="57"/>
      <c r="J293" s="57"/>
      <c r="M293" s="15"/>
    </row>
    <row r="294" ht="63.0" customHeight="1">
      <c r="A294" s="26"/>
      <c r="B294" s="26"/>
      <c r="C294" s="17" t="s">
        <v>151</v>
      </c>
      <c r="D294" s="37" t="s">
        <v>772</v>
      </c>
      <c r="E294" s="36" t="s">
        <v>632</v>
      </c>
      <c r="F294" s="38"/>
      <c r="I294" s="57"/>
      <c r="J294" s="57"/>
      <c r="M294" s="15"/>
    </row>
    <row r="295" ht="63.0" customHeight="1">
      <c r="A295" s="26"/>
      <c r="B295" s="26"/>
      <c r="C295" s="17" t="s">
        <v>151</v>
      </c>
      <c r="D295" s="37" t="s">
        <v>773</v>
      </c>
      <c r="E295" s="36" t="s">
        <v>632</v>
      </c>
      <c r="F295" s="38"/>
      <c r="I295" s="57"/>
      <c r="J295" s="57"/>
      <c r="M295" s="15"/>
    </row>
    <row r="296" ht="63.0" customHeight="1">
      <c r="A296" s="26"/>
      <c r="B296" s="26"/>
      <c r="C296" s="17" t="s">
        <v>151</v>
      </c>
      <c r="D296" s="37" t="s">
        <v>774</v>
      </c>
      <c r="E296" s="36" t="s">
        <v>632</v>
      </c>
      <c r="F296" s="38"/>
      <c r="I296" s="57"/>
      <c r="J296" s="57"/>
      <c r="M296" s="15"/>
    </row>
    <row r="297" ht="63.0" customHeight="1">
      <c r="A297" s="26"/>
      <c r="B297" s="26"/>
      <c r="C297" s="17" t="s">
        <v>151</v>
      </c>
      <c r="D297" s="37" t="s">
        <v>775</v>
      </c>
      <c r="E297" s="36" t="s">
        <v>673</v>
      </c>
      <c r="F297" s="38"/>
      <c r="I297" s="57"/>
      <c r="J297" s="57"/>
      <c r="M297" s="15"/>
    </row>
    <row r="298" ht="63.0" customHeight="1">
      <c r="A298" s="26"/>
      <c r="B298" s="26"/>
      <c r="C298" s="17" t="s">
        <v>151</v>
      </c>
      <c r="D298" s="37" t="s">
        <v>776</v>
      </c>
      <c r="E298" s="36" t="s">
        <v>632</v>
      </c>
      <c r="F298" s="38"/>
      <c r="I298" s="57"/>
      <c r="J298" s="57"/>
      <c r="M298" s="15"/>
    </row>
    <row r="299" ht="63.0" customHeight="1">
      <c r="A299" s="26"/>
      <c r="B299" s="26"/>
      <c r="C299" s="17" t="s">
        <v>151</v>
      </c>
      <c r="D299" s="37" t="s">
        <v>777</v>
      </c>
      <c r="E299" s="36" t="s">
        <v>632</v>
      </c>
      <c r="F299" s="38"/>
      <c r="I299" s="57"/>
      <c r="J299" s="57"/>
      <c r="M299" s="15"/>
    </row>
    <row r="300" ht="63.0" customHeight="1">
      <c r="A300" s="26"/>
      <c r="B300" s="26"/>
      <c r="C300" s="17" t="s">
        <v>151</v>
      </c>
      <c r="D300" s="37" t="s">
        <v>778</v>
      </c>
      <c r="E300" s="36" t="s">
        <v>632</v>
      </c>
      <c r="F300" s="38"/>
      <c r="I300" s="57"/>
      <c r="J300" s="57"/>
      <c r="M300" s="15"/>
    </row>
    <row r="301" ht="63.0" customHeight="1">
      <c r="A301" s="26"/>
      <c r="B301" s="26"/>
      <c r="C301" s="17" t="s">
        <v>151</v>
      </c>
      <c r="D301" s="37" t="s">
        <v>779</v>
      </c>
      <c r="E301" s="36" t="s">
        <v>632</v>
      </c>
      <c r="F301" s="38"/>
      <c r="I301" s="57"/>
      <c r="J301" s="57"/>
      <c r="M301" s="15"/>
    </row>
    <row r="302" ht="63.0" customHeight="1">
      <c r="A302" s="26"/>
      <c r="B302" s="26"/>
      <c r="C302" s="17" t="s">
        <v>151</v>
      </c>
      <c r="D302" s="37" t="s">
        <v>780</v>
      </c>
      <c r="E302" s="36" t="s">
        <v>632</v>
      </c>
      <c r="F302" s="38"/>
      <c r="I302" s="57"/>
      <c r="J302" s="57"/>
      <c r="M302" s="15"/>
    </row>
    <row r="303" ht="63.0" customHeight="1">
      <c r="A303" s="26"/>
      <c r="B303" s="26"/>
      <c r="C303" s="17" t="s">
        <v>151</v>
      </c>
      <c r="D303" s="37" t="s">
        <v>781</v>
      </c>
      <c r="E303" s="36" t="s">
        <v>632</v>
      </c>
      <c r="F303" s="38"/>
      <c r="I303" s="57"/>
      <c r="J303" s="57"/>
      <c r="M303" s="15"/>
    </row>
    <row r="304" ht="63.0" customHeight="1">
      <c r="A304" s="26"/>
      <c r="B304" s="26"/>
      <c r="C304" s="17" t="s">
        <v>151</v>
      </c>
      <c r="D304" s="37" t="s">
        <v>782</v>
      </c>
      <c r="E304" s="36" t="s">
        <v>632</v>
      </c>
      <c r="F304" s="38"/>
      <c r="I304" s="57"/>
      <c r="J304" s="57"/>
      <c r="M304" s="15"/>
    </row>
    <row r="305" ht="63.0" customHeight="1">
      <c r="A305" s="26"/>
      <c r="B305" s="26"/>
      <c r="C305" s="17" t="s">
        <v>151</v>
      </c>
      <c r="D305" s="37" t="s">
        <v>783</v>
      </c>
      <c r="E305" s="36" t="s">
        <v>632</v>
      </c>
      <c r="F305" s="38"/>
      <c r="I305" s="57"/>
      <c r="J305" s="57"/>
      <c r="M305" s="15"/>
    </row>
    <row r="306" ht="63.0" customHeight="1">
      <c r="A306" s="26"/>
      <c r="B306" s="26"/>
      <c r="C306" s="17" t="s">
        <v>151</v>
      </c>
      <c r="D306" s="37" t="s">
        <v>784</v>
      </c>
      <c r="E306" s="36" t="s">
        <v>632</v>
      </c>
      <c r="F306" s="38"/>
      <c r="I306" s="57"/>
      <c r="J306" s="57"/>
      <c r="M306" s="15"/>
    </row>
    <row r="307" ht="63.0" customHeight="1">
      <c r="A307" s="26"/>
      <c r="B307" s="26"/>
      <c r="C307" s="17" t="s">
        <v>151</v>
      </c>
      <c r="D307" s="37" t="s">
        <v>785</v>
      </c>
      <c r="E307" s="36" t="s">
        <v>632</v>
      </c>
      <c r="F307" s="38"/>
      <c r="I307" s="57"/>
      <c r="J307" s="57"/>
      <c r="M307" s="15"/>
    </row>
    <row r="308" ht="63.0" customHeight="1">
      <c r="A308" s="26"/>
      <c r="B308" s="26"/>
      <c r="C308" s="17" t="s">
        <v>151</v>
      </c>
      <c r="D308" s="37" t="s">
        <v>786</v>
      </c>
      <c r="E308" s="36" t="s">
        <v>632</v>
      </c>
      <c r="F308" s="38"/>
      <c r="I308" s="57"/>
      <c r="J308" s="57"/>
      <c r="M308" s="15"/>
    </row>
    <row r="309" ht="63.0" customHeight="1">
      <c r="A309" s="26"/>
      <c r="B309" s="26"/>
      <c r="C309" s="17" t="s">
        <v>151</v>
      </c>
      <c r="D309" s="37" t="s">
        <v>787</v>
      </c>
      <c r="E309" s="36" t="s">
        <v>632</v>
      </c>
      <c r="F309" s="38"/>
      <c r="I309" s="57"/>
      <c r="J309" s="57"/>
      <c r="M309" s="15"/>
    </row>
    <row r="310" ht="63.0" customHeight="1">
      <c r="A310" s="26"/>
      <c r="B310" s="26"/>
      <c r="C310" s="17" t="s">
        <v>151</v>
      </c>
      <c r="D310" s="37" t="s">
        <v>788</v>
      </c>
      <c r="E310" s="36" t="s">
        <v>632</v>
      </c>
      <c r="F310" s="38"/>
      <c r="I310" s="57"/>
      <c r="J310" s="57"/>
      <c r="M310" s="15"/>
    </row>
    <row r="311" ht="63.0" customHeight="1">
      <c r="A311" s="26"/>
      <c r="B311" s="26"/>
      <c r="C311" s="17" t="s">
        <v>151</v>
      </c>
      <c r="D311" s="37" t="s">
        <v>789</v>
      </c>
      <c r="E311" s="36" t="s">
        <v>632</v>
      </c>
      <c r="F311" s="38"/>
      <c r="I311" s="57"/>
      <c r="J311" s="57"/>
      <c r="M311" s="15"/>
    </row>
    <row r="312" ht="63.0" customHeight="1">
      <c r="A312" s="26"/>
      <c r="B312" s="26"/>
      <c r="C312" s="17" t="s">
        <v>151</v>
      </c>
      <c r="D312" s="37" t="s">
        <v>790</v>
      </c>
      <c r="E312" s="36" t="s">
        <v>632</v>
      </c>
      <c r="F312" s="38"/>
      <c r="I312" s="57"/>
      <c r="J312" s="57"/>
      <c r="M312" s="15"/>
    </row>
    <row r="313" ht="63.0" customHeight="1">
      <c r="A313" s="26"/>
      <c r="B313" s="26"/>
      <c r="C313" s="17" t="s">
        <v>151</v>
      </c>
      <c r="D313" s="37" t="s">
        <v>791</v>
      </c>
      <c r="E313" s="36" t="s">
        <v>632</v>
      </c>
      <c r="F313" s="38"/>
      <c r="I313" s="57"/>
      <c r="J313" s="57"/>
      <c r="M313" s="15"/>
    </row>
    <row r="314" ht="63.0" customHeight="1">
      <c r="A314" s="26"/>
      <c r="B314" s="26"/>
      <c r="C314" s="17" t="s">
        <v>151</v>
      </c>
      <c r="D314" s="37" t="s">
        <v>792</v>
      </c>
      <c r="E314" s="36" t="s">
        <v>632</v>
      </c>
      <c r="F314" s="38"/>
      <c r="I314" s="57"/>
      <c r="J314" s="57"/>
      <c r="M314" s="15"/>
    </row>
    <row r="315" ht="63.0" customHeight="1">
      <c r="A315" s="26"/>
      <c r="B315" s="26"/>
      <c r="C315" s="17" t="s">
        <v>151</v>
      </c>
      <c r="D315" s="37" t="s">
        <v>793</v>
      </c>
      <c r="E315" s="36" t="s">
        <v>632</v>
      </c>
      <c r="F315" s="38"/>
      <c r="I315" s="57"/>
      <c r="J315" s="57"/>
      <c r="M315" s="15"/>
    </row>
    <row r="316" ht="63.0" customHeight="1">
      <c r="A316" s="26"/>
      <c r="B316" s="26"/>
      <c r="C316" s="17" t="s">
        <v>151</v>
      </c>
      <c r="D316" s="37" t="s">
        <v>794</v>
      </c>
      <c r="E316" s="36" t="s">
        <v>632</v>
      </c>
      <c r="F316" s="38"/>
      <c r="I316" s="57"/>
      <c r="J316" s="57"/>
      <c r="M316" s="15"/>
    </row>
    <row r="317" ht="63.0" customHeight="1">
      <c r="A317" s="26"/>
      <c r="B317" s="26"/>
      <c r="C317" s="17" t="s">
        <v>151</v>
      </c>
      <c r="D317" s="37" t="s">
        <v>795</v>
      </c>
      <c r="E317" s="36" t="s">
        <v>632</v>
      </c>
      <c r="F317" s="38"/>
      <c r="I317" s="57"/>
      <c r="J317" s="57"/>
      <c r="M317" s="15"/>
    </row>
    <row r="318" ht="63.0" customHeight="1">
      <c r="A318" s="26"/>
      <c r="B318" s="26"/>
      <c r="C318" s="17" t="s">
        <v>151</v>
      </c>
      <c r="D318" s="37" t="s">
        <v>796</v>
      </c>
      <c r="E318" s="36" t="s">
        <v>632</v>
      </c>
      <c r="F318" s="38"/>
      <c r="I318" s="57"/>
      <c r="J318" s="57"/>
      <c r="M318" s="15"/>
    </row>
    <row r="319" ht="63.0" customHeight="1">
      <c r="A319" s="26"/>
      <c r="B319" s="26"/>
      <c r="C319" s="17" t="s">
        <v>151</v>
      </c>
      <c r="D319" s="37" t="s">
        <v>797</v>
      </c>
      <c r="E319" s="36" t="s">
        <v>632</v>
      </c>
      <c r="F319" s="38"/>
      <c r="I319" s="57"/>
      <c r="J319" s="57"/>
      <c r="M319" s="15"/>
    </row>
    <row r="320" ht="63.0" customHeight="1">
      <c r="A320" s="26"/>
      <c r="B320" s="26"/>
      <c r="C320" s="17" t="s">
        <v>151</v>
      </c>
      <c r="D320" s="37" t="s">
        <v>798</v>
      </c>
      <c r="E320" s="36" t="s">
        <v>632</v>
      </c>
      <c r="F320" s="38"/>
      <c r="I320" s="57"/>
      <c r="J320" s="57"/>
      <c r="M320" s="15"/>
    </row>
    <row r="321" ht="63.0" customHeight="1">
      <c r="A321" s="26"/>
      <c r="B321" s="26"/>
      <c r="C321" s="17" t="s">
        <v>151</v>
      </c>
      <c r="D321" s="37" t="s">
        <v>799</v>
      </c>
      <c r="E321" s="36" t="s">
        <v>632</v>
      </c>
      <c r="F321" s="38"/>
      <c r="I321" s="57"/>
      <c r="J321" s="57"/>
      <c r="M321" s="15"/>
    </row>
    <row r="322" ht="63.0" customHeight="1">
      <c r="A322" s="26"/>
      <c r="B322" s="26"/>
      <c r="C322" s="17" t="s">
        <v>151</v>
      </c>
      <c r="D322" s="37" t="s">
        <v>800</v>
      </c>
      <c r="E322" s="36" t="s">
        <v>632</v>
      </c>
      <c r="F322" s="38"/>
      <c r="I322" s="57"/>
      <c r="J322" s="57"/>
      <c r="M322" s="15"/>
    </row>
    <row r="323" ht="63.0" customHeight="1">
      <c r="A323" s="26"/>
      <c r="B323" s="26"/>
      <c r="C323" s="17" t="s">
        <v>151</v>
      </c>
      <c r="D323" s="37" t="s">
        <v>801</v>
      </c>
      <c r="E323" s="36" t="s">
        <v>632</v>
      </c>
      <c r="F323" s="38"/>
      <c r="I323" s="57"/>
      <c r="J323" s="57"/>
      <c r="M323" s="15"/>
    </row>
    <row r="324" ht="63.0" customHeight="1">
      <c r="A324" s="26"/>
      <c r="B324" s="26"/>
      <c r="C324" s="17" t="s">
        <v>151</v>
      </c>
      <c r="D324" s="37" t="s">
        <v>802</v>
      </c>
      <c r="E324" s="36" t="s">
        <v>632</v>
      </c>
      <c r="F324" s="38"/>
      <c r="I324" s="57"/>
      <c r="J324" s="57"/>
      <c r="M324" s="15"/>
    </row>
    <row r="325" ht="63.0" customHeight="1">
      <c r="A325" s="26"/>
      <c r="B325" s="26"/>
      <c r="C325" s="17" t="s">
        <v>151</v>
      </c>
      <c r="D325" s="37" t="s">
        <v>803</v>
      </c>
      <c r="E325" s="36" t="s">
        <v>632</v>
      </c>
      <c r="F325" s="38"/>
      <c r="I325" s="57"/>
      <c r="J325" s="57"/>
      <c r="M325" s="15"/>
    </row>
    <row r="326" ht="63.0" customHeight="1">
      <c r="A326" s="26"/>
      <c r="B326" s="26"/>
      <c r="C326" s="17" t="s">
        <v>151</v>
      </c>
      <c r="D326" s="37" t="s">
        <v>804</v>
      </c>
      <c r="E326" s="36" t="s">
        <v>632</v>
      </c>
      <c r="F326" s="38"/>
      <c r="I326" s="57"/>
      <c r="J326" s="57"/>
      <c r="M326" s="15"/>
    </row>
    <row r="327" ht="63.0" customHeight="1">
      <c r="A327" s="26"/>
      <c r="B327" s="26"/>
      <c r="C327" s="17" t="s">
        <v>151</v>
      </c>
      <c r="D327" s="37" t="s">
        <v>805</v>
      </c>
      <c r="E327" s="36" t="s">
        <v>673</v>
      </c>
      <c r="F327" s="38"/>
      <c r="I327" s="57"/>
      <c r="J327" s="57"/>
      <c r="M327" s="15"/>
    </row>
    <row r="328" ht="63.0" customHeight="1">
      <c r="A328" s="26"/>
      <c r="B328" s="26"/>
      <c r="C328" s="17" t="s">
        <v>151</v>
      </c>
      <c r="D328" s="37" t="s">
        <v>806</v>
      </c>
      <c r="E328" s="36" t="s">
        <v>632</v>
      </c>
      <c r="F328" s="38"/>
      <c r="I328" s="57"/>
      <c r="J328" s="57"/>
      <c r="M328" s="15"/>
    </row>
    <row r="329" ht="63.0" customHeight="1">
      <c r="A329" s="26"/>
      <c r="B329" s="26"/>
      <c r="C329" s="17" t="s">
        <v>151</v>
      </c>
      <c r="D329" s="37" t="s">
        <v>807</v>
      </c>
      <c r="E329" s="36" t="s">
        <v>632</v>
      </c>
      <c r="F329" s="38"/>
      <c r="I329" s="57"/>
      <c r="J329" s="57"/>
      <c r="M329" s="15"/>
    </row>
    <row r="330" ht="63.0" customHeight="1">
      <c r="A330" s="26"/>
      <c r="B330" s="26"/>
      <c r="C330" s="17" t="s">
        <v>151</v>
      </c>
      <c r="D330" s="37" t="s">
        <v>808</v>
      </c>
      <c r="E330" s="36" t="s">
        <v>632</v>
      </c>
      <c r="F330" s="38"/>
      <c r="I330" s="57"/>
      <c r="J330" s="57"/>
      <c r="M330" s="15"/>
    </row>
    <row r="331" ht="63.0" customHeight="1">
      <c r="A331" s="26"/>
      <c r="B331" s="26"/>
      <c r="C331" s="17" t="s">
        <v>151</v>
      </c>
      <c r="D331" s="37" t="s">
        <v>809</v>
      </c>
      <c r="E331" s="36" t="s">
        <v>632</v>
      </c>
      <c r="F331" s="38"/>
      <c r="I331" s="57"/>
      <c r="J331" s="57"/>
      <c r="M331" s="15"/>
    </row>
    <row r="332" ht="63.0" customHeight="1">
      <c r="A332" s="26"/>
      <c r="B332" s="26"/>
      <c r="C332" s="17" t="s">
        <v>151</v>
      </c>
      <c r="D332" s="37" t="s">
        <v>810</v>
      </c>
      <c r="E332" s="36" t="s">
        <v>632</v>
      </c>
      <c r="F332" s="38"/>
      <c r="I332" s="57"/>
      <c r="J332" s="57"/>
      <c r="M332" s="15"/>
    </row>
    <row r="333" ht="63.0" customHeight="1">
      <c r="A333" s="26"/>
      <c r="B333" s="26"/>
      <c r="C333" s="17" t="s">
        <v>151</v>
      </c>
      <c r="D333" s="37" t="s">
        <v>811</v>
      </c>
      <c r="E333" s="36" t="s">
        <v>632</v>
      </c>
      <c r="F333" s="38"/>
      <c r="I333" s="57"/>
      <c r="J333" s="57"/>
      <c r="M333" s="15"/>
    </row>
    <row r="334" ht="63.0" customHeight="1">
      <c r="A334" s="26"/>
      <c r="B334" s="26"/>
      <c r="C334" s="17" t="s">
        <v>151</v>
      </c>
      <c r="D334" s="37" t="s">
        <v>812</v>
      </c>
      <c r="E334" s="36" t="s">
        <v>632</v>
      </c>
      <c r="F334" s="38"/>
      <c r="I334" s="57"/>
      <c r="J334" s="57"/>
      <c r="M334" s="15"/>
    </row>
    <row r="335" ht="63.0" customHeight="1">
      <c r="A335" s="26"/>
      <c r="B335" s="26"/>
      <c r="C335" s="17" t="s">
        <v>151</v>
      </c>
      <c r="D335" s="37" t="s">
        <v>813</v>
      </c>
      <c r="E335" s="36" t="s">
        <v>632</v>
      </c>
      <c r="F335" s="38"/>
      <c r="I335" s="57"/>
      <c r="J335" s="57"/>
      <c r="M335" s="15"/>
    </row>
    <row r="336" ht="63.0" customHeight="1">
      <c r="A336" s="26"/>
      <c r="B336" s="26"/>
      <c r="C336" s="17" t="s">
        <v>151</v>
      </c>
      <c r="D336" s="37" t="s">
        <v>814</v>
      </c>
      <c r="E336" s="36" t="s">
        <v>632</v>
      </c>
      <c r="F336" s="38"/>
      <c r="I336" s="57"/>
      <c r="J336" s="57"/>
      <c r="M336" s="15"/>
    </row>
    <row r="337" ht="63.0" customHeight="1">
      <c r="A337" s="26"/>
      <c r="B337" s="26"/>
      <c r="C337" s="17" t="s">
        <v>151</v>
      </c>
      <c r="D337" s="37" t="s">
        <v>815</v>
      </c>
      <c r="E337" s="36" t="s">
        <v>632</v>
      </c>
      <c r="F337" s="38"/>
      <c r="I337" s="57"/>
      <c r="J337" s="57"/>
      <c r="M337" s="15"/>
    </row>
    <row r="338" ht="63.0" customHeight="1">
      <c r="A338" s="26"/>
      <c r="B338" s="26"/>
      <c r="C338" s="17" t="s">
        <v>151</v>
      </c>
      <c r="D338" s="37" t="s">
        <v>816</v>
      </c>
      <c r="E338" s="36" t="s">
        <v>632</v>
      </c>
      <c r="F338" s="38"/>
      <c r="I338" s="57"/>
      <c r="J338" s="57"/>
      <c r="M338" s="15"/>
    </row>
    <row r="339" ht="63.0" customHeight="1">
      <c r="A339" s="26"/>
      <c r="B339" s="26"/>
      <c r="C339" s="17" t="s">
        <v>151</v>
      </c>
      <c r="D339" s="37" t="s">
        <v>817</v>
      </c>
      <c r="E339" s="36" t="s">
        <v>632</v>
      </c>
      <c r="F339" s="38"/>
      <c r="I339" s="57"/>
      <c r="J339" s="57"/>
      <c r="M339" s="15"/>
    </row>
    <row r="340" ht="63.0" customHeight="1">
      <c r="A340" s="26"/>
      <c r="B340" s="26"/>
      <c r="C340" s="17" t="s">
        <v>151</v>
      </c>
      <c r="D340" s="37" t="s">
        <v>818</v>
      </c>
      <c r="E340" s="36" t="s">
        <v>632</v>
      </c>
      <c r="F340" s="38"/>
      <c r="I340" s="57"/>
      <c r="J340" s="57"/>
      <c r="M340" s="15"/>
    </row>
    <row r="341" ht="63.0" customHeight="1">
      <c r="A341" s="26"/>
      <c r="B341" s="26"/>
      <c r="C341" s="17" t="s">
        <v>151</v>
      </c>
      <c r="D341" s="37" t="s">
        <v>819</v>
      </c>
      <c r="E341" s="36" t="s">
        <v>632</v>
      </c>
      <c r="F341" s="38"/>
      <c r="I341" s="57"/>
      <c r="J341" s="57"/>
      <c r="M341" s="15"/>
    </row>
    <row r="342" ht="63.0" customHeight="1">
      <c r="A342" s="26"/>
      <c r="B342" s="26"/>
      <c r="C342" s="17" t="s">
        <v>151</v>
      </c>
      <c r="D342" s="37" t="s">
        <v>820</v>
      </c>
      <c r="E342" s="36" t="s">
        <v>632</v>
      </c>
      <c r="F342" s="38"/>
      <c r="I342" s="57"/>
      <c r="J342" s="57"/>
      <c r="M342" s="15"/>
    </row>
    <row r="343" ht="63.0" customHeight="1">
      <c r="A343" s="26"/>
      <c r="B343" s="26"/>
      <c r="C343" s="17" t="s">
        <v>151</v>
      </c>
      <c r="D343" s="37" t="s">
        <v>821</v>
      </c>
      <c r="E343" s="36" t="s">
        <v>632</v>
      </c>
      <c r="F343" s="38"/>
      <c r="I343" s="57"/>
      <c r="J343" s="57"/>
      <c r="M343" s="15"/>
    </row>
    <row r="344" ht="63.0" customHeight="1">
      <c r="A344" s="26"/>
      <c r="B344" s="26"/>
      <c r="C344" s="17" t="s">
        <v>151</v>
      </c>
      <c r="D344" s="37" t="s">
        <v>822</v>
      </c>
      <c r="E344" s="36" t="s">
        <v>632</v>
      </c>
      <c r="F344" s="38"/>
      <c r="I344" s="57"/>
      <c r="J344" s="57"/>
      <c r="M344" s="15"/>
    </row>
    <row r="345" ht="63.0" customHeight="1">
      <c r="A345" s="26"/>
      <c r="B345" s="26"/>
      <c r="C345" s="17" t="s">
        <v>151</v>
      </c>
      <c r="D345" s="37" t="s">
        <v>823</v>
      </c>
      <c r="E345" s="36" t="s">
        <v>632</v>
      </c>
      <c r="F345" s="38"/>
      <c r="I345" s="57"/>
      <c r="J345" s="57"/>
      <c r="M345" s="15"/>
    </row>
    <row r="346" ht="63.0" customHeight="1">
      <c r="A346" s="26"/>
      <c r="B346" s="26"/>
      <c r="C346" s="17" t="s">
        <v>151</v>
      </c>
      <c r="D346" s="37" t="s">
        <v>824</v>
      </c>
      <c r="E346" s="36" t="s">
        <v>632</v>
      </c>
      <c r="F346" s="38"/>
      <c r="I346" s="57"/>
      <c r="J346" s="57"/>
      <c r="M346" s="15"/>
    </row>
    <row r="347" ht="63.0" customHeight="1">
      <c r="A347" s="26"/>
      <c r="B347" s="26"/>
      <c r="C347" s="17" t="s">
        <v>151</v>
      </c>
      <c r="D347" s="37" t="s">
        <v>825</v>
      </c>
      <c r="E347" s="36" t="s">
        <v>632</v>
      </c>
      <c r="F347" s="38"/>
      <c r="I347" s="57"/>
      <c r="J347" s="57"/>
      <c r="M347" s="15"/>
    </row>
    <row r="348" ht="63.0" customHeight="1">
      <c r="A348" s="26"/>
      <c r="B348" s="26"/>
      <c r="C348" s="17" t="s">
        <v>151</v>
      </c>
      <c r="D348" s="37" t="s">
        <v>826</v>
      </c>
      <c r="E348" s="36" t="s">
        <v>632</v>
      </c>
      <c r="F348" s="38"/>
      <c r="I348" s="57"/>
      <c r="J348" s="57"/>
      <c r="M348" s="15"/>
    </row>
    <row r="349" ht="63.0" customHeight="1">
      <c r="A349" s="26"/>
      <c r="B349" s="26"/>
      <c r="C349" s="17" t="s">
        <v>151</v>
      </c>
      <c r="D349" s="37" t="s">
        <v>827</v>
      </c>
      <c r="E349" s="36" t="s">
        <v>632</v>
      </c>
      <c r="F349" s="38"/>
      <c r="I349" s="57"/>
      <c r="J349" s="57"/>
      <c r="M349" s="15"/>
    </row>
    <row r="350" ht="63.0" customHeight="1">
      <c r="A350" s="26"/>
      <c r="B350" s="26"/>
      <c r="C350" s="17" t="s">
        <v>151</v>
      </c>
      <c r="D350" s="37" t="s">
        <v>828</v>
      </c>
      <c r="E350" s="36" t="s">
        <v>632</v>
      </c>
      <c r="F350" s="38"/>
      <c r="I350" s="57"/>
      <c r="J350" s="57"/>
      <c r="M350" s="15"/>
    </row>
    <row r="351" ht="63.0" customHeight="1">
      <c r="A351" s="26"/>
      <c r="B351" s="26"/>
      <c r="C351" s="17" t="s">
        <v>151</v>
      </c>
      <c r="D351" s="37" t="s">
        <v>829</v>
      </c>
      <c r="E351" s="36" t="s">
        <v>632</v>
      </c>
      <c r="F351" s="38"/>
      <c r="I351" s="57"/>
      <c r="J351" s="57"/>
      <c r="M351" s="15"/>
    </row>
    <row r="352" ht="63.0" customHeight="1">
      <c r="A352" s="26"/>
      <c r="B352" s="26"/>
      <c r="C352" s="17" t="s">
        <v>151</v>
      </c>
      <c r="D352" s="37" t="s">
        <v>830</v>
      </c>
      <c r="E352" s="36" t="s">
        <v>632</v>
      </c>
      <c r="F352" s="38"/>
      <c r="I352" s="57"/>
      <c r="J352" s="57"/>
      <c r="M352" s="15"/>
    </row>
    <row r="353" ht="63.0" customHeight="1">
      <c r="A353" s="26"/>
      <c r="B353" s="26"/>
      <c r="C353" s="17" t="s">
        <v>151</v>
      </c>
      <c r="D353" s="37" t="s">
        <v>831</v>
      </c>
      <c r="E353" s="36" t="s">
        <v>632</v>
      </c>
      <c r="F353" s="38"/>
      <c r="I353" s="57"/>
      <c r="J353" s="57"/>
      <c r="M353" s="15"/>
    </row>
    <row r="354" ht="63.0" customHeight="1">
      <c r="A354" s="26"/>
      <c r="B354" s="26"/>
      <c r="C354" s="17" t="s">
        <v>151</v>
      </c>
      <c r="D354" s="37" t="s">
        <v>831</v>
      </c>
      <c r="E354" s="36" t="s">
        <v>632</v>
      </c>
      <c r="F354" s="38"/>
      <c r="I354" s="57"/>
      <c r="J354" s="57"/>
      <c r="M354" s="15"/>
    </row>
    <row r="355" ht="63.0" customHeight="1">
      <c r="A355" s="26"/>
      <c r="B355" s="26"/>
      <c r="C355" s="17" t="s">
        <v>151</v>
      </c>
      <c r="D355" s="37" t="s">
        <v>832</v>
      </c>
      <c r="E355" s="36" t="s">
        <v>632</v>
      </c>
      <c r="F355" s="38"/>
      <c r="I355" s="57"/>
      <c r="J355" s="57"/>
      <c r="M355" s="15"/>
    </row>
    <row r="356" ht="63.0" customHeight="1">
      <c r="A356" s="26"/>
      <c r="B356" s="26"/>
      <c r="C356" s="17" t="s">
        <v>151</v>
      </c>
      <c r="D356" s="37" t="s">
        <v>833</v>
      </c>
      <c r="E356" s="36" t="s">
        <v>632</v>
      </c>
      <c r="F356" s="38"/>
      <c r="I356" s="57"/>
      <c r="J356" s="57"/>
      <c r="M356" s="15"/>
    </row>
    <row r="357" ht="63.0" customHeight="1">
      <c r="A357" s="26"/>
      <c r="B357" s="26"/>
      <c r="C357" s="17" t="s">
        <v>151</v>
      </c>
      <c r="D357" s="37" t="s">
        <v>834</v>
      </c>
      <c r="E357" s="36" t="s">
        <v>632</v>
      </c>
      <c r="F357" s="38"/>
      <c r="I357" s="57"/>
      <c r="J357" s="57"/>
      <c r="M357" s="15"/>
    </row>
    <row r="358" ht="63.0" customHeight="1">
      <c r="A358" s="26"/>
      <c r="B358" s="26"/>
      <c r="C358" s="17" t="s">
        <v>151</v>
      </c>
      <c r="D358" s="37" t="s">
        <v>835</v>
      </c>
      <c r="E358" s="36" t="s">
        <v>632</v>
      </c>
      <c r="F358" s="38"/>
      <c r="I358" s="57"/>
      <c r="J358" s="57"/>
      <c r="M358" s="15"/>
    </row>
    <row r="359" ht="63.0" customHeight="1">
      <c r="A359" s="26"/>
      <c r="B359" s="26"/>
      <c r="C359" s="17" t="s">
        <v>151</v>
      </c>
      <c r="D359" s="37" t="s">
        <v>836</v>
      </c>
      <c r="E359" s="36" t="s">
        <v>632</v>
      </c>
      <c r="F359" s="38"/>
      <c r="I359" s="57"/>
      <c r="J359" s="57"/>
      <c r="M359" s="15"/>
    </row>
    <row r="360" ht="63.0" customHeight="1">
      <c r="A360" s="26"/>
      <c r="B360" s="26"/>
      <c r="C360" s="17" t="s">
        <v>151</v>
      </c>
      <c r="D360" s="37" t="s">
        <v>837</v>
      </c>
      <c r="E360" s="36" t="s">
        <v>632</v>
      </c>
      <c r="F360" s="38"/>
      <c r="I360" s="57"/>
      <c r="J360" s="57"/>
      <c r="M360" s="15"/>
    </row>
    <row r="361" ht="63.0" customHeight="1">
      <c r="A361" s="26"/>
      <c r="B361" s="26"/>
      <c r="C361" s="17" t="s">
        <v>151</v>
      </c>
      <c r="D361" s="37" t="s">
        <v>838</v>
      </c>
      <c r="E361" s="36" t="s">
        <v>632</v>
      </c>
      <c r="F361" s="38"/>
      <c r="I361" s="57"/>
      <c r="J361" s="57"/>
      <c r="M361" s="15"/>
    </row>
    <row r="362" ht="63.0" customHeight="1">
      <c r="A362" s="26"/>
      <c r="B362" s="26"/>
      <c r="C362" s="17" t="s">
        <v>151</v>
      </c>
      <c r="D362" s="37" t="s">
        <v>839</v>
      </c>
      <c r="E362" s="36" t="s">
        <v>632</v>
      </c>
      <c r="F362" s="38"/>
      <c r="I362" s="57"/>
      <c r="J362" s="57"/>
      <c r="M362" s="15"/>
    </row>
    <row r="363" ht="63.0" customHeight="1">
      <c r="A363" s="26"/>
      <c r="B363" s="26"/>
      <c r="C363" s="17" t="s">
        <v>151</v>
      </c>
      <c r="D363" s="37" t="s">
        <v>840</v>
      </c>
      <c r="E363" s="36" t="s">
        <v>632</v>
      </c>
      <c r="F363" s="38"/>
      <c r="I363" s="57"/>
      <c r="J363" s="57"/>
      <c r="M363" s="15"/>
    </row>
    <row r="364" ht="63.0" customHeight="1">
      <c r="A364" s="26"/>
      <c r="B364" s="26"/>
      <c r="C364" s="17" t="s">
        <v>151</v>
      </c>
      <c r="D364" s="37" t="s">
        <v>841</v>
      </c>
      <c r="E364" s="36" t="s">
        <v>632</v>
      </c>
      <c r="F364" s="38"/>
      <c r="I364" s="57"/>
      <c r="J364" s="57"/>
      <c r="M364" s="15"/>
    </row>
    <row r="365" ht="63.0" customHeight="1">
      <c r="A365" s="26"/>
      <c r="B365" s="26"/>
      <c r="C365" s="17" t="s">
        <v>151</v>
      </c>
      <c r="D365" s="37" t="s">
        <v>842</v>
      </c>
      <c r="E365" s="36" t="s">
        <v>632</v>
      </c>
      <c r="F365" s="38"/>
      <c r="I365" s="57"/>
      <c r="J365" s="57"/>
      <c r="M365" s="15"/>
    </row>
    <row r="366" ht="63.0" customHeight="1">
      <c r="A366" s="26"/>
      <c r="B366" s="26"/>
      <c r="C366" s="17" t="s">
        <v>151</v>
      </c>
      <c r="D366" s="37" t="s">
        <v>843</v>
      </c>
      <c r="E366" s="36" t="s">
        <v>632</v>
      </c>
      <c r="F366" s="38"/>
      <c r="I366" s="57"/>
      <c r="J366" s="57"/>
      <c r="M366" s="15"/>
    </row>
    <row r="367" ht="63.0" customHeight="1">
      <c r="A367" s="26"/>
      <c r="B367" s="26"/>
      <c r="C367" s="17" t="s">
        <v>151</v>
      </c>
      <c r="D367" s="37" t="s">
        <v>844</v>
      </c>
      <c r="E367" s="36" t="s">
        <v>632</v>
      </c>
      <c r="F367" s="38"/>
      <c r="I367" s="57"/>
      <c r="J367" s="57"/>
      <c r="M367" s="15"/>
    </row>
    <row r="368" ht="63.0" customHeight="1">
      <c r="A368" s="26"/>
      <c r="B368" s="26"/>
      <c r="C368" s="17" t="s">
        <v>151</v>
      </c>
      <c r="D368" s="37" t="s">
        <v>845</v>
      </c>
      <c r="E368" s="36" t="s">
        <v>632</v>
      </c>
      <c r="F368" s="38"/>
      <c r="I368" s="57"/>
      <c r="J368" s="57"/>
      <c r="M368" s="15"/>
    </row>
    <row r="369" ht="63.0" customHeight="1">
      <c r="A369" s="26"/>
      <c r="B369" s="26"/>
      <c r="C369" s="17" t="s">
        <v>151</v>
      </c>
      <c r="D369" s="37" t="s">
        <v>846</v>
      </c>
      <c r="E369" s="36" t="s">
        <v>632</v>
      </c>
      <c r="F369" s="38"/>
      <c r="I369" s="57"/>
      <c r="J369" s="57"/>
      <c r="M369" s="15"/>
    </row>
    <row r="370" ht="63.0" customHeight="1">
      <c r="A370" s="26"/>
      <c r="B370" s="26"/>
      <c r="C370" s="17" t="s">
        <v>151</v>
      </c>
      <c r="D370" s="37" t="s">
        <v>847</v>
      </c>
      <c r="E370" s="36" t="s">
        <v>632</v>
      </c>
      <c r="F370" s="38"/>
      <c r="I370" s="57"/>
      <c r="J370" s="57"/>
      <c r="M370" s="15"/>
    </row>
    <row r="371" ht="63.0" customHeight="1">
      <c r="A371" s="26"/>
      <c r="B371" s="26"/>
      <c r="C371" s="17" t="s">
        <v>151</v>
      </c>
      <c r="D371" s="37" t="s">
        <v>847</v>
      </c>
      <c r="E371" s="36" t="s">
        <v>632</v>
      </c>
      <c r="F371" s="38"/>
      <c r="I371" s="57"/>
      <c r="J371" s="57"/>
      <c r="M371" s="15"/>
    </row>
    <row r="372" ht="63.0" customHeight="1">
      <c r="A372" s="26"/>
      <c r="B372" s="26"/>
      <c r="C372" s="17" t="s">
        <v>151</v>
      </c>
      <c r="D372" s="37" t="s">
        <v>847</v>
      </c>
      <c r="E372" s="36" t="s">
        <v>632</v>
      </c>
      <c r="F372" s="38"/>
      <c r="I372" s="57"/>
      <c r="J372" s="57"/>
      <c r="M372" s="15"/>
    </row>
    <row r="373" ht="63.0" customHeight="1">
      <c r="A373" s="26"/>
      <c r="B373" s="26"/>
      <c r="C373" s="17" t="s">
        <v>151</v>
      </c>
      <c r="D373" s="37" t="s">
        <v>848</v>
      </c>
      <c r="E373" s="36" t="s">
        <v>632</v>
      </c>
      <c r="F373" s="38"/>
      <c r="I373" s="57"/>
      <c r="J373" s="57"/>
      <c r="M373" s="15"/>
    </row>
    <row r="374" ht="63.0" customHeight="1">
      <c r="A374" s="26"/>
      <c r="B374" s="26"/>
      <c r="C374" s="17" t="s">
        <v>151</v>
      </c>
      <c r="D374" s="37" t="s">
        <v>849</v>
      </c>
      <c r="E374" s="36" t="s">
        <v>632</v>
      </c>
      <c r="F374" s="38"/>
      <c r="I374" s="57"/>
      <c r="J374" s="57"/>
      <c r="M374" s="15"/>
    </row>
    <row r="375" ht="63.0" customHeight="1">
      <c r="A375" s="26"/>
      <c r="B375" s="26"/>
      <c r="C375" s="17" t="s">
        <v>151</v>
      </c>
      <c r="D375" s="37" t="s">
        <v>850</v>
      </c>
      <c r="E375" s="36" t="s">
        <v>673</v>
      </c>
      <c r="F375" s="38"/>
      <c r="I375" s="57"/>
      <c r="J375" s="57"/>
      <c r="M375" s="15"/>
    </row>
    <row r="376" ht="63.0" customHeight="1">
      <c r="A376" s="26"/>
      <c r="B376" s="26"/>
      <c r="C376" s="17" t="s">
        <v>151</v>
      </c>
      <c r="D376" s="37" t="s">
        <v>851</v>
      </c>
      <c r="E376" s="36" t="s">
        <v>768</v>
      </c>
      <c r="F376" s="38"/>
      <c r="I376" s="57"/>
      <c r="J376" s="57"/>
      <c r="M376" s="15"/>
    </row>
    <row r="377" ht="63.0" customHeight="1">
      <c r="A377" s="26"/>
      <c r="B377" s="26"/>
      <c r="C377" s="17" t="s">
        <v>151</v>
      </c>
      <c r="D377" s="37" t="s">
        <v>852</v>
      </c>
      <c r="E377" s="36" t="s">
        <v>632</v>
      </c>
      <c r="F377" s="38"/>
      <c r="I377" s="57"/>
      <c r="J377" s="57"/>
      <c r="M377" s="15"/>
    </row>
    <row r="378" ht="63.0" customHeight="1">
      <c r="A378" s="26"/>
      <c r="B378" s="26"/>
      <c r="C378" s="17" t="s">
        <v>151</v>
      </c>
      <c r="D378" s="37" t="s">
        <v>853</v>
      </c>
      <c r="E378" s="36" t="s">
        <v>632</v>
      </c>
      <c r="F378" s="38"/>
      <c r="I378" s="57"/>
      <c r="J378" s="57"/>
      <c r="M378" s="15"/>
    </row>
    <row r="379" ht="63.0" customHeight="1">
      <c r="A379" s="26"/>
      <c r="B379" s="26"/>
      <c r="C379" s="17" t="s">
        <v>151</v>
      </c>
      <c r="D379" s="37" t="s">
        <v>854</v>
      </c>
      <c r="E379" s="36" t="s">
        <v>632</v>
      </c>
      <c r="F379" s="38"/>
      <c r="I379" s="57"/>
      <c r="J379" s="57"/>
      <c r="M379" s="15"/>
    </row>
    <row r="380" ht="63.0" customHeight="1">
      <c r="A380" s="26"/>
      <c r="B380" s="26"/>
      <c r="C380" s="17" t="s">
        <v>151</v>
      </c>
      <c r="D380" s="37" t="s">
        <v>855</v>
      </c>
      <c r="E380" s="36" t="s">
        <v>632</v>
      </c>
      <c r="F380" s="38"/>
      <c r="I380" s="57"/>
      <c r="J380" s="57"/>
      <c r="M380" s="15"/>
    </row>
    <row r="381" ht="63.0" customHeight="1">
      <c r="A381" s="26"/>
      <c r="B381" s="26"/>
      <c r="C381" s="17" t="s">
        <v>151</v>
      </c>
      <c r="D381" s="37" t="s">
        <v>856</v>
      </c>
      <c r="E381" s="36" t="s">
        <v>632</v>
      </c>
      <c r="F381" s="38"/>
      <c r="I381" s="57"/>
      <c r="J381" s="57"/>
      <c r="M381" s="15"/>
    </row>
    <row r="382" ht="63.0" customHeight="1">
      <c r="A382" s="26"/>
      <c r="B382" s="26"/>
      <c r="C382" s="17" t="s">
        <v>151</v>
      </c>
      <c r="D382" s="37" t="s">
        <v>857</v>
      </c>
      <c r="E382" s="36" t="s">
        <v>632</v>
      </c>
      <c r="F382" s="38"/>
      <c r="I382" s="57"/>
      <c r="J382" s="57"/>
      <c r="M382" s="15"/>
    </row>
    <row r="383" ht="63.0" customHeight="1">
      <c r="A383" s="26"/>
      <c r="B383" s="26"/>
      <c r="C383" s="17" t="s">
        <v>151</v>
      </c>
      <c r="D383" s="37" t="s">
        <v>858</v>
      </c>
      <c r="E383" s="36" t="s">
        <v>632</v>
      </c>
      <c r="F383" s="38"/>
      <c r="I383" s="57"/>
      <c r="J383" s="57"/>
      <c r="M383" s="15"/>
    </row>
    <row r="384" ht="63.0" customHeight="1">
      <c r="A384" s="26"/>
      <c r="B384" s="26"/>
      <c r="C384" s="17" t="s">
        <v>151</v>
      </c>
      <c r="D384" s="37" t="s">
        <v>859</v>
      </c>
      <c r="E384" s="36" t="s">
        <v>632</v>
      </c>
      <c r="F384" s="38"/>
      <c r="I384" s="57"/>
      <c r="J384" s="57"/>
      <c r="M384" s="15"/>
    </row>
    <row r="385" ht="63.0" customHeight="1">
      <c r="A385" s="26"/>
      <c r="B385" s="26"/>
      <c r="C385" s="17" t="s">
        <v>151</v>
      </c>
      <c r="D385" s="37" t="s">
        <v>860</v>
      </c>
      <c r="E385" s="36" t="s">
        <v>632</v>
      </c>
      <c r="F385" s="38"/>
      <c r="I385" s="57"/>
      <c r="J385" s="57"/>
      <c r="M385" s="15"/>
    </row>
    <row r="386" ht="63.0" customHeight="1">
      <c r="A386" s="26"/>
      <c r="B386" s="26"/>
      <c r="C386" s="17" t="s">
        <v>151</v>
      </c>
      <c r="D386" s="37" t="s">
        <v>861</v>
      </c>
      <c r="E386" s="36" t="s">
        <v>768</v>
      </c>
      <c r="F386" s="38"/>
      <c r="I386" s="57"/>
      <c r="J386" s="57"/>
      <c r="M386" s="15"/>
    </row>
    <row r="387" ht="63.0" customHeight="1">
      <c r="A387" s="26"/>
      <c r="B387" s="26"/>
      <c r="C387" s="17" t="s">
        <v>151</v>
      </c>
      <c r="D387" s="37" t="s">
        <v>862</v>
      </c>
      <c r="E387" s="36" t="s">
        <v>632</v>
      </c>
      <c r="F387" s="38"/>
      <c r="I387" s="57"/>
      <c r="J387" s="57"/>
      <c r="M387" s="15"/>
    </row>
    <row r="388" ht="63.0" customHeight="1">
      <c r="A388" s="26"/>
      <c r="B388" s="26"/>
      <c r="C388" s="17" t="s">
        <v>151</v>
      </c>
      <c r="D388" s="37" t="s">
        <v>863</v>
      </c>
      <c r="E388" s="36" t="s">
        <v>632</v>
      </c>
      <c r="F388" s="38"/>
      <c r="I388" s="57"/>
      <c r="J388" s="57"/>
      <c r="M388" s="15"/>
    </row>
    <row r="389" ht="63.0" customHeight="1">
      <c r="A389" s="26"/>
      <c r="B389" s="26"/>
      <c r="C389" s="17" t="s">
        <v>151</v>
      </c>
      <c r="D389" s="37" t="s">
        <v>864</v>
      </c>
      <c r="E389" s="36" t="s">
        <v>632</v>
      </c>
      <c r="F389" s="38"/>
      <c r="I389" s="57"/>
      <c r="J389" s="57"/>
      <c r="M389" s="15"/>
    </row>
    <row r="390" ht="63.0" customHeight="1">
      <c r="A390" s="26"/>
      <c r="B390" s="26"/>
      <c r="C390" s="17" t="s">
        <v>151</v>
      </c>
      <c r="D390" s="37" t="s">
        <v>865</v>
      </c>
      <c r="E390" s="36" t="s">
        <v>768</v>
      </c>
      <c r="F390" s="38"/>
      <c r="I390" s="57"/>
      <c r="J390" s="57"/>
      <c r="M390" s="15"/>
    </row>
    <row r="391" ht="63.0" customHeight="1">
      <c r="A391" s="26"/>
      <c r="B391" s="26"/>
      <c r="C391" s="17" t="s">
        <v>151</v>
      </c>
      <c r="D391" s="37" t="s">
        <v>866</v>
      </c>
      <c r="E391" s="36" t="s">
        <v>632</v>
      </c>
      <c r="F391" s="38"/>
      <c r="I391" s="57"/>
      <c r="J391" s="57"/>
      <c r="M391" s="15"/>
    </row>
    <row r="392" ht="63.0" customHeight="1">
      <c r="A392" s="26"/>
      <c r="B392" s="26"/>
      <c r="C392" s="17" t="s">
        <v>151</v>
      </c>
      <c r="D392" s="37" t="s">
        <v>867</v>
      </c>
      <c r="E392" s="36" t="s">
        <v>632</v>
      </c>
      <c r="F392" s="38"/>
      <c r="I392" s="57"/>
      <c r="J392" s="57"/>
      <c r="M392" s="15"/>
    </row>
    <row r="393" ht="63.0" customHeight="1">
      <c r="A393" s="26"/>
      <c r="B393" s="26"/>
      <c r="C393" s="17" t="s">
        <v>151</v>
      </c>
      <c r="D393" s="37" t="s">
        <v>868</v>
      </c>
      <c r="E393" s="36" t="s">
        <v>632</v>
      </c>
      <c r="F393" s="38"/>
      <c r="I393" s="57"/>
      <c r="J393" s="57"/>
      <c r="M393" s="15"/>
    </row>
    <row r="394" ht="63.0" customHeight="1">
      <c r="A394" s="26"/>
      <c r="B394" s="26"/>
      <c r="C394" s="17" t="s">
        <v>151</v>
      </c>
      <c r="D394" s="37" t="s">
        <v>869</v>
      </c>
      <c r="E394" s="36" t="s">
        <v>632</v>
      </c>
      <c r="F394" s="38"/>
      <c r="I394" s="57"/>
      <c r="J394" s="57"/>
      <c r="M394" s="15"/>
    </row>
    <row r="395" ht="63.0" customHeight="1">
      <c r="A395" s="26"/>
      <c r="B395" s="26"/>
      <c r="C395" s="17" t="s">
        <v>151</v>
      </c>
      <c r="D395" s="37" t="s">
        <v>870</v>
      </c>
      <c r="E395" s="36" t="s">
        <v>632</v>
      </c>
      <c r="F395" s="38"/>
      <c r="I395" s="57"/>
      <c r="J395" s="57"/>
      <c r="M395" s="15"/>
    </row>
    <row r="396" ht="63.0" customHeight="1">
      <c r="A396" s="26"/>
      <c r="B396" s="26"/>
      <c r="C396" s="17" t="s">
        <v>151</v>
      </c>
      <c r="D396" s="37" t="s">
        <v>871</v>
      </c>
      <c r="E396" s="36" t="s">
        <v>632</v>
      </c>
      <c r="F396" s="38"/>
      <c r="I396" s="57"/>
      <c r="J396" s="57"/>
      <c r="M396" s="15"/>
    </row>
    <row r="397" ht="63.0" customHeight="1">
      <c r="A397" s="26"/>
      <c r="B397" s="26"/>
      <c r="C397" s="17" t="s">
        <v>151</v>
      </c>
      <c r="D397" s="37" t="s">
        <v>872</v>
      </c>
      <c r="E397" s="36" t="s">
        <v>632</v>
      </c>
      <c r="F397" s="38"/>
      <c r="I397" s="57"/>
      <c r="J397" s="57"/>
      <c r="M397" s="15"/>
    </row>
    <row r="398" ht="63.0" customHeight="1">
      <c r="A398" s="26"/>
      <c r="B398" s="26"/>
      <c r="C398" s="17" t="s">
        <v>151</v>
      </c>
      <c r="D398" s="37" t="s">
        <v>873</v>
      </c>
      <c r="E398" s="36" t="s">
        <v>632</v>
      </c>
      <c r="F398" s="38"/>
      <c r="I398" s="57"/>
      <c r="J398" s="57"/>
      <c r="M398" s="15"/>
    </row>
    <row r="399" ht="63.0" customHeight="1">
      <c r="A399" s="26"/>
      <c r="B399" s="26"/>
      <c r="C399" s="17" t="s">
        <v>151</v>
      </c>
      <c r="D399" s="37" t="s">
        <v>874</v>
      </c>
      <c r="E399" s="36" t="s">
        <v>632</v>
      </c>
      <c r="F399" s="38"/>
      <c r="I399" s="57"/>
      <c r="J399" s="57"/>
      <c r="M399" s="15"/>
    </row>
    <row r="400" ht="63.0" customHeight="1">
      <c r="A400" s="26"/>
      <c r="B400" s="26"/>
      <c r="C400" s="17" t="s">
        <v>151</v>
      </c>
      <c r="D400" s="37" t="s">
        <v>875</v>
      </c>
      <c r="E400" s="36" t="s">
        <v>632</v>
      </c>
      <c r="F400" s="38"/>
      <c r="I400" s="57"/>
      <c r="J400" s="57"/>
      <c r="M400" s="15"/>
    </row>
    <row r="401" ht="63.0" customHeight="1">
      <c r="A401" s="26"/>
      <c r="B401" s="26"/>
      <c r="C401" s="17" t="s">
        <v>151</v>
      </c>
      <c r="D401" s="37" t="s">
        <v>876</v>
      </c>
      <c r="E401" s="36" t="s">
        <v>768</v>
      </c>
      <c r="F401" s="38"/>
      <c r="I401" s="57"/>
      <c r="J401" s="57"/>
      <c r="M401" s="15"/>
    </row>
    <row r="402" ht="63.0" customHeight="1">
      <c r="A402" s="26"/>
      <c r="B402" s="26"/>
      <c r="C402" s="17" t="s">
        <v>151</v>
      </c>
      <c r="D402" s="37" t="s">
        <v>877</v>
      </c>
      <c r="E402" s="36" t="s">
        <v>630</v>
      </c>
      <c r="F402" s="38"/>
      <c r="I402" s="57"/>
      <c r="J402" s="57"/>
      <c r="M402" s="15"/>
    </row>
    <row r="403" ht="63.0" customHeight="1">
      <c r="A403" s="26"/>
      <c r="B403" s="26"/>
      <c r="C403" s="17" t="s">
        <v>151</v>
      </c>
      <c r="D403" s="37" t="s">
        <v>878</v>
      </c>
      <c r="E403" s="36" t="s">
        <v>632</v>
      </c>
      <c r="F403" s="38"/>
      <c r="I403" s="57"/>
      <c r="J403" s="57"/>
      <c r="M403" s="15"/>
    </row>
    <row r="404" ht="63.0" customHeight="1">
      <c r="A404" s="26"/>
      <c r="B404" s="26"/>
      <c r="C404" s="17" t="s">
        <v>151</v>
      </c>
      <c r="D404" s="37" t="s">
        <v>878</v>
      </c>
      <c r="E404" s="36" t="s">
        <v>632</v>
      </c>
      <c r="F404" s="38"/>
      <c r="I404" s="57"/>
      <c r="J404" s="57"/>
      <c r="M404" s="15"/>
    </row>
    <row r="405" ht="63.0" customHeight="1">
      <c r="A405" s="26"/>
      <c r="B405" s="26"/>
      <c r="C405" s="17" t="s">
        <v>151</v>
      </c>
      <c r="D405" s="37" t="s">
        <v>878</v>
      </c>
      <c r="E405" s="36" t="s">
        <v>632</v>
      </c>
      <c r="F405" s="38"/>
      <c r="I405" s="57"/>
      <c r="J405" s="57"/>
      <c r="M405" s="15"/>
    </row>
    <row r="406" ht="63.0" customHeight="1">
      <c r="A406" s="26"/>
      <c r="B406" s="26"/>
      <c r="C406" s="17" t="s">
        <v>151</v>
      </c>
      <c r="D406" s="37" t="s">
        <v>879</v>
      </c>
      <c r="E406" s="36" t="s">
        <v>632</v>
      </c>
      <c r="F406" s="38"/>
      <c r="I406" s="57"/>
      <c r="J406" s="57"/>
      <c r="M406" s="15"/>
    </row>
    <row r="407" ht="63.0" customHeight="1">
      <c r="A407" s="26"/>
      <c r="B407" s="26"/>
      <c r="C407" s="17" t="s">
        <v>151</v>
      </c>
      <c r="D407" s="37" t="s">
        <v>880</v>
      </c>
      <c r="E407" s="36" t="s">
        <v>632</v>
      </c>
      <c r="F407" s="38"/>
      <c r="I407" s="57"/>
      <c r="J407" s="57"/>
      <c r="M407" s="15"/>
    </row>
    <row r="408" ht="63.0" customHeight="1">
      <c r="A408" s="26"/>
      <c r="B408" s="26"/>
      <c r="C408" s="17" t="s">
        <v>151</v>
      </c>
      <c r="D408" s="37" t="s">
        <v>881</v>
      </c>
      <c r="E408" s="36" t="s">
        <v>637</v>
      </c>
      <c r="F408" s="38"/>
      <c r="I408" s="57"/>
      <c r="J408" s="57"/>
      <c r="M408" s="15"/>
    </row>
    <row r="409" ht="63.0" customHeight="1">
      <c r="A409" s="26"/>
      <c r="B409" s="26"/>
      <c r="C409" s="17" t="s">
        <v>151</v>
      </c>
      <c r="D409" s="37" t="s">
        <v>881</v>
      </c>
      <c r="E409" s="36" t="s">
        <v>637</v>
      </c>
      <c r="F409" s="38"/>
      <c r="I409" s="57"/>
      <c r="J409" s="57"/>
      <c r="M409" s="15"/>
    </row>
    <row r="410" ht="63.0" customHeight="1">
      <c r="A410" s="26"/>
      <c r="B410" s="26"/>
      <c r="C410" s="17" t="s">
        <v>151</v>
      </c>
      <c r="D410" s="37" t="s">
        <v>882</v>
      </c>
      <c r="E410" s="36" t="s">
        <v>632</v>
      </c>
      <c r="F410" s="38"/>
      <c r="I410" s="57"/>
      <c r="J410" s="57"/>
      <c r="M410" s="15"/>
    </row>
    <row r="411" ht="63.0" customHeight="1">
      <c r="A411" s="26"/>
      <c r="B411" s="26"/>
      <c r="C411" s="17" t="s">
        <v>151</v>
      </c>
      <c r="D411" s="37" t="s">
        <v>883</v>
      </c>
      <c r="E411" s="36" t="s">
        <v>637</v>
      </c>
      <c r="F411" s="38"/>
      <c r="I411" s="57"/>
      <c r="J411" s="57"/>
      <c r="M411" s="15"/>
    </row>
    <row r="412" ht="63.0" customHeight="1">
      <c r="A412" s="26"/>
      <c r="B412" s="26"/>
      <c r="C412" s="17" t="s">
        <v>151</v>
      </c>
      <c r="D412" s="37" t="s">
        <v>884</v>
      </c>
      <c r="E412" s="36" t="s">
        <v>632</v>
      </c>
      <c r="F412" s="38"/>
      <c r="I412" s="57"/>
      <c r="J412" s="57"/>
      <c r="M412" s="15"/>
    </row>
    <row r="413" ht="63.0" customHeight="1">
      <c r="A413" s="26"/>
      <c r="B413" s="26"/>
      <c r="C413" s="17" t="s">
        <v>151</v>
      </c>
      <c r="D413" s="37" t="s">
        <v>884</v>
      </c>
      <c r="E413" s="36" t="s">
        <v>632</v>
      </c>
      <c r="F413" s="38"/>
      <c r="I413" s="57"/>
      <c r="J413" s="57"/>
      <c r="M413" s="15"/>
    </row>
    <row r="414" ht="63.0" customHeight="1">
      <c r="A414" s="26"/>
      <c r="B414" s="26"/>
      <c r="C414" s="17" t="s">
        <v>151</v>
      </c>
      <c r="D414" s="37" t="s">
        <v>884</v>
      </c>
      <c r="E414" s="36" t="s">
        <v>632</v>
      </c>
      <c r="F414" s="38"/>
      <c r="I414" s="57"/>
      <c r="J414" s="57"/>
      <c r="M414" s="15"/>
    </row>
    <row r="415" ht="63.0" customHeight="1">
      <c r="A415" s="26"/>
      <c r="B415" s="26"/>
      <c r="C415" s="17" t="s">
        <v>151</v>
      </c>
      <c r="D415" s="37" t="s">
        <v>885</v>
      </c>
      <c r="E415" s="36" t="s">
        <v>637</v>
      </c>
      <c r="F415" s="38"/>
      <c r="I415" s="57"/>
      <c r="J415" s="57"/>
      <c r="M415" s="15"/>
    </row>
    <row r="416" ht="63.0" customHeight="1">
      <c r="A416" s="26"/>
      <c r="B416" s="26"/>
      <c r="C416" s="17" t="s">
        <v>151</v>
      </c>
      <c r="D416" s="37" t="s">
        <v>886</v>
      </c>
      <c r="E416" s="36" t="s">
        <v>637</v>
      </c>
      <c r="F416" s="38"/>
      <c r="I416" s="57"/>
      <c r="J416" s="57"/>
      <c r="M416" s="15"/>
    </row>
    <row r="417" ht="63.0" customHeight="1">
      <c r="A417" s="26"/>
      <c r="B417" s="26"/>
      <c r="C417" s="17" t="s">
        <v>151</v>
      </c>
      <c r="D417" s="37" t="s">
        <v>887</v>
      </c>
      <c r="E417" s="36" t="s">
        <v>632</v>
      </c>
      <c r="F417" s="38"/>
      <c r="I417" s="57"/>
      <c r="J417" s="57"/>
      <c r="M417" s="15"/>
    </row>
    <row r="418" ht="63.0" customHeight="1">
      <c r="A418" s="26"/>
      <c r="B418" s="26"/>
      <c r="C418" s="17" t="s">
        <v>151</v>
      </c>
      <c r="D418" s="37" t="s">
        <v>888</v>
      </c>
      <c r="E418" s="36" t="s">
        <v>637</v>
      </c>
      <c r="F418" s="38"/>
      <c r="I418" s="57"/>
      <c r="J418" s="57"/>
      <c r="M418" s="15"/>
    </row>
    <row r="419" ht="63.0" customHeight="1">
      <c r="A419" s="26"/>
      <c r="B419" s="26"/>
      <c r="C419" s="17" t="s">
        <v>151</v>
      </c>
      <c r="D419" s="37" t="s">
        <v>889</v>
      </c>
      <c r="E419" s="36" t="s">
        <v>632</v>
      </c>
      <c r="F419" s="38"/>
      <c r="I419" s="57"/>
      <c r="J419" s="57"/>
      <c r="M419" s="15"/>
    </row>
    <row r="420" ht="63.0" customHeight="1">
      <c r="A420" s="26"/>
      <c r="B420" s="26"/>
      <c r="C420" s="17" t="s">
        <v>151</v>
      </c>
      <c r="D420" s="37" t="s">
        <v>890</v>
      </c>
      <c r="E420" s="36" t="s">
        <v>637</v>
      </c>
      <c r="F420" s="38"/>
      <c r="I420" s="57"/>
      <c r="J420" s="57"/>
      <c r="M420" s="15"/>
    </row>
    <row r="421" ht="63.0" customHeight="1">
      <c r="A421" s="26"/>
      <c r="B421" s="26"/>
      <c r="C421" s="17" t="s">
        <v>151</v>
      </c>
      <c r="D421" s="37" t="s">
        <v>891</v>
      </c>
      <c r="E421" s="36" t="s">
        <v>637</v>
      </c>
      <c r="F421" s="38"/>
      <c r="I421" s="57"/>
      <c r="J421" s="57"/>
      <c r="M421" s="15"/>
    </row>
    <row r="422" ht="63.0" customHeight="1">
      <c r="A422" s="26"/>
      <c r="B422" s="26"/>
      <c r="C422" s="17" t="s">
        <v>151</v>
      </c>
      <c r="D422" s="37" t="s">
        <v>892</v>
      </c>
      <c r="E422" s="36" t="s">
        <v>637</v>
      </c>
      <c r="F422" s="38"/>
      <c r="I422" s="57"/>
      <c r="J422" s="57"/>
      <c r="M422" s="15"/>
    </row>
    <row r="423" ht="63.0" customHeight="1">
      <c r="A423" s="26"/>
      <c r="B423" s="26"/>
      <c r="C423" s="17" t="s">
        <v>151</v>
      </c>
      <c r="D423" s="37" t="s">
        <v>893</v>
      </c>
      <c r="E423" s="36" t="s">
        <v>632</v>
      </c>
      <c r="F423" s="38"/>
      <c r="I423" s="57"/>
      <c r="J423" s="57"/>
      <c r="M423" s="15"/>
    </row>
    <row r="424" ht="63.0" customHeight="1">
      <c r="A424" s="26"/>
      <c r="B424" s="26"/>
      <c r="C424" s="17" t="s">
        <v>151</v>
      </c>
      <c r="D424" s="37" t="s">
        <v>893</v>
      </c>
      <c r="E424" s="36" t="s">
        <v>632</v>
      </c>
      <c r="F424" s="38"/>
      <c r="I424" s="57"/>
      <c r="J424" s="57"/>
      <c r="M424" s="15"/>
    </row>
    <row r="425" ht="63.0" customHeight="1">
      <c r="A425" s="26"/>
      <c r="B425" s="26"/>
      <c r="C425" s="17" t="s">
        <v>151</v>
      </c>
      <c r="D425" s="37" t="s">
        <v>894</v>
      </c>
      <c r="E425" s="36" t="s">
        <v>632</v>
      </c>
      <c r="F425" s="38"/>
      <c r="I425" s="57"/>
      <c r="J425" s="57"/>
      <c r="M425" s="15"/>
    </row>
    <row r="426" ht="63.0" customHeight="1">
      <c r="A426" s="26"/>
      <c r="B426" s="26"/>
      <c r="C426" s="17" t="s">
        <v>151</v>
      </c>
      <c r="D426" s="37" t="s">
        <v>895</v>
      </c>
      <c r="E426" s="36" t="s">
        <v>632</v>
      </c>
      <c r="F426" s="38"/>
      <c r="I426" s="57"/>
      <c r="J426" s="57"/>
      <c r="M426" s="15"/>
    </row>
    <row r="427" ht="63.0" customHeight="1">
      <c r="A427" s="26"/>
      <c r="B427" s="26"/>
      <c r="C427" s="17" t="s">
        <v>151</v>
      </c>
      <c r="D427" s="37" t="s">
        <v>896</v>
      </c>
      <c r="E427" s="36" t="s">
        <v>632</v>
      </c>
      <c r="F427" s="38"/>
      <c r="I427" s="57"/>
      <c r="J427" s="57"/>
      <c r="M427" s="15"/>
    </row>
    <row r="428" ht="63.0" customHeight="1">
      <c r="A428" s="26"/>
      <c r="B428" s="26"/>
      <c r="C428" s="17" t="s">
        <v>151</v>
      </c>
      <c r="D428" s="37" t="s">
        <v>897</v>
      </c>
      <c r="E428" s="36" t="s">
        <v>632</v>
      </c>
      <c r="F428" s="38"/>
      <c r="I428" s="57"/>
      <c r="J428" s="57"/>
      <c r="M428" s="15"/>
    </row>
    <row r="429" ht="63.0" customHeight="1">
      <c r="A429" s="26"/>
      <c r="B429" s="26"/>
      <c r="C429" s="17" t="s">
        <v>151</v>
      </c>
      <c r="D429" s="37" t="s">
        <v>897</v>
      </c>
      <c r="E429" s="36" t="s">
        <v>632</v>
      </c>
      <c r="F429" s="38"/>
      <c r="I429" s="57"/>
      <c r="J429" s="57"/>
      <c r="M429" s="15"/>
    </row>
    <row r="430" ht="63.0" customHeight="1">
      <c r="A430" s="26"/>
      <c r="B430" s="26"/>
      <c r="C430" s="17" t="s">
        <v>151</v>
      </c>
      <c r="D430" s="37" t="s">
        <v>897</v>
      </c>
      <c r="E430" s="36" t="s">
        <v>632</v>
      </c>
      <c r="F430" s="38"/>
      <c r="I430" s="57"/>
      <c r="J430" s="57"/>
      <c r="M430" s="15"/>
    </row>
    <row r="431" ht="63.0" customHeight="1">
      <c r="A431" s="26"/>
      <c r="B431" s="26"/>
      <c r="C431" s="17" t="s">
        <v>151</v>
      </c>
      <c r="D431" s="37" t="s">
        <v>897</v>
      </c>
      <c r="E431" s="36" t="s">
        <v>632</v>
      </c>
      <c r="F431" s="38"/>
      <c r="I431" s="57"/>
      <c r="J431" s="57"/>
      <c r="M431" s="15"/>
    </row>
    <row r="432" ht="63.0" customHeight="1">
      <c r="A432" s="26"/>
      <c r="B432" s="26"/>
      <c r="C432" s="17" t="s">
        <v>151</v>
      </c>
      <c r="D432" s="37" t="s">
        <v>897</v>
      </c>
      <c r="E432" s="36" t="s">
        <v>632</v>
      </c>
      <c r="F432" s="38"/>
      <c r="I432" s="57"/>
      <c r="J432" s="57"/>
      <c r="M432" s="15"/>
    </row>
    <row r="433" ht="63.0" customHeight="1">
      <c r="A433" s="26"/>
      <c r="B433" s="26"/>
      <c r="C433" s="17" t="s">
        <v>151</v>
      </c>
      <c r="D433" s="37" t="s">
        <v>898</v>
      </c>
      <c r="E433" s="36" t="s">
        <v>632</v>
      </c>
      <c r="F433" s="38"/>
      <c r="I433" s="57"/>
      <c r="J433" s="57"/>
      <c r="M433" s="15"/>
    </row>
    <row r="434" ht="63.0" customHeight="1">
      <c r="A434" s="26"/>
      <c r="B434" s="26"/>
      <c r="C434" s="17" t="s">
        <v>151</v>
      </c>
      <c r="D434" s="37" t="s">
        <v>898</v>
      </c>
      <c r="E434" s="36" t="s">
        <v>632</v>
      </c>
      <c r="F434" s="38"/>
      <c r="I434" s="57"/>
      <c r="J434" s="57"/>
      <c r="M434" s="15"/>
    </row>
    <row r="435" ht="63.0" customHeight="1">
      <c r="A435" s="26"/>
      <c r="B435" s="26"/>
      <c r="C435" s="17" t="s">
        <v>151</v>
      </c>
      <c r="D435" s="37" t="s">
        <v>898</v>
      </c>
      <c r="E435" s="36" t="s">
        <v>632</v>
      </c>
      <c r="F435" s="38"/>
      <c r="I435" s="57"/>
      <c r="J435" s="57"/>
      <c r="M435" s="15"/>
    </row>
    <row r="436" ht="63.0" customHeight="1">
      <c r="A436" s="26"/>
      <c r="B436" s="26"/>
      <c r="C436" s="17" t="s">
        <v>151</v>
      </c>
      <c r="D436" s="37" t="s">
        <v>898</v>
      </c>
      <c r="E436" s="36" t="s">
        <v>632</v>
      </c>
      <c r="F436" s="38"/>
      <c r="I436" s="57"/>
      <c r="J436" s="57"/>
      <c r="M436" s="15"/>
    </row>
    <row r="437" ht="63.0" customHeight="1">
      <c r="A437" s="26"/>
      <c r="B437" s="26"/>
      <c r="C437" s="17" t="s">
        <v>151</v>
      </c>
      <c r="D437" s="37" t="s">
        <v>899</v>
      </c>
      <c r="E437" s="36" t="s">
        <v>637</v>
      </c>
      <c r="F437" s="38"/>
      <c r="I437" s="57"/>
      <c r="J437" s="57"/>
      <c r="M437" s="15"/>
    </row>
    <row r="438" ht="63.0" customHeight="1">
      <c r="A438" s="26"/>
      <c r="B438" s="26"/>
      <c r="C438" s="17" t="s">
        <v>151</v>
      </c>
      <c r="D438" s="37" t="s">
        <v>900</v>
      </c>
      <c r="E438" s="36" t="s">
        <v>637</v>
      </c>
      <c r="F438" s="38"/>
      <c r="I438" s="57"/>
      <c r="J438" s="57"/>
      <c r="M438" s="15"/>
    </row>
    <row r="439" ht="63.0" customHeight="1">
      <c r="A439" s="26"/>
      <c r="B439" s="26"/>
      <c r="C439" s="17" t="s">
        <v>151</v>
      </c>
      <c r="D439" s="37" t="s">
        <v>901</v>
      </c>
      <c r="E439" s="36" t="s">
        <v>637</v>
      </c>
      <c r="F439" s="38"/>
      <c r="I439" s="57"/>
      <c r="J439" s="57"/>
      <c r="M439" s="15"/>
    </row>
    <row r="440" ht="63.0" customHeight="1">
      <c r="A440" s="26"/>
      <c r="B440" s="26"/>
      <c r="C440" s="17" t="s">
        <v>151</v>
      </c>
      <c r="D440" s="37" t="s">
        <v>902</v>
      </c>
      <c r="E440" s="36" t="s">
        <v>632</v>
      </c>
      <c r="F440" s="38"/>
      <c r="I440" s="57"/>
      <c r="J440" s="57"/>
      <c r="M440" s="15"/>
    </row>
    <row r="441" ht="63.0" customHeight="1">
      <c r="A441" s="26"/>
      <c r="B441" s="26"/>
      <c r="C441" s="17" t="s">
        <v>151</v>
      </c>
      <c r="D441" s="37" t="s">
        <v>903</v>
      </c>
      <c r="E441" s="36" t="s">
        <v>632</v>
      </c>
      <c r="F441" s="38"/>
      <c r="I441" s="57"/>
      <c r="J441" s="57"/>
      <c r="M441" s="15"/>
    </row>
    <row r="442" ht="63.0" customHeight="1">
      <c r="A442" s="26"/>
      <c r="B442" s="26"/>
      <c r="C442" s="17" t="s">
        <v>151</v>
      </c>
      <c r="D442" s="37" t="s">
        <v>904</v>
      </c>
      <c r="E442" s="36" t="s">
        <v>632</v>
      </c>
      <c r="F442" s="38"/>
      <c r="I442" s="57"/>
      <c r="J442" s="57"/>
      <c r="M442" s="15"/>
    </row>
    <row r="443" ht="63.0" customHeight="1">
      <c r="A443" s="26"/>
      <c r="B443" s="26"/>
      <c r="C443" s="17" t="s">
        <v>151</v>
      </c>
      <c r="D443" s="37" t="s">
        <v>904</v>
      </c>
      <c r="E443" s="36" t="s">
        <v>632</v>
      </c>
      <c r="F443" s="38"/>
      <c r="I443" s="57"/>
      <c r="J443" s="57"/>
      <c r="M443" s="15"/>
    </row>
    <row r="444" ht="63.0" customHeight="1">
      <c r="A444" s="26"/>
      <c r="B444" s="26"/>
      <c r="C444" s="17" t="s">
        <v>151</v>
      </c>
      <c r="D444" s="37" t="s">
        <v>905</v>
      </c>
      <c r="E444" s="36" t="s">
        <v>632</v>
      </c>
      <c r="F444" s="38"/>
      <c r="I444" s="57"/>
      <c r="J444" s="57"/>
      <c r="M444" s="15"/>
    </row>
    <row r="445" ht="63.0" customHeight="1">
      <c r="A445" s="26"/>
      <c r="B445" s="26"/>
      <c r="C445" s="17" t="s">
        <v>151</v>
      </c>
      <c r="D445" s="37" t="s">
        <v>906</v>
      </c>
      <c r="E445" s="36" t="s">
        <v>632</v>
      </c>
      <c r="F445" s="38"/>
      <c r="I445" s="57"/>
      <c r="J445" s="57"/>
      <c r="M445" s="15"/>
    </row>
    <row r="446" ht="63.0" customHeight="1">
      <c r="A446" s="26"/>
      <c r="B446" s="26"/>
      <c r="C446" s="17" t="s">
        <v>151</v>
      </c>
      <c r="D446" s="37" t="s">
        <v>907</v>
      </c>
      <c r="E446" s="36" t="s">
        <v>637</v>
      </c>
      <c r="F446" s="38"/>
      <c r="I446" s="57"/>
      <c r="J446" s="57"/>
      <c r="M446" s="15"/>
    </row>
    <row r="447" ht="63.0" customHeight="1">
      <c r="A447" s="26"/>
      <c r="B447" s="26"/>
      <c r="C447" s="17" t="s">
        <v>151</v>
      </c>
      <c r="D447" s="37" t="s">
        <v>908</v>
      </c>
      <c r="E447" s="36" t="s">
        <v>637</v>
      </c>
      <c r="F447" s="38"/>
      <c r="I447" s="57"/>
      <c r="J447" s="57"/>
      <c r="M447" s="15"/>
    </row>
    <row r="448" ht="63.0" customHeight="1">
      <c r="A448" s="26"/>
      <c r="B448" s="26"/>
      <c r="C448" s="17" t="s">
        <v>151</v>
      </c>
      <c r="D448" s="37" t="s">
        <v>909</v>
      </c>
      <c r="E448" s="36" t="s">
        <v>632</v>
      </c>
      <c r="F448" s="38"/>
      <c r="I448" s="57"/>
      <c r="J448" s="57"/>
      <c r="M448" s="15"/>
    </row>
    <row r="449" ht="63.0" customHeight="1">
      <c r="A449" s="26"/>
      <c r="B449" s="26"/>
      <c r="C449" s="17" t="s">
        <v>151</v>
      </c>
      <c r="D449" s="37" t="s">
        <v>910</v>
      </c>
      <c r="E449" s="36" t="s">
        <v>637</v>
      </c>
      <c r="F449" s="38"/>
      <c r="I449" s="57"/>
      <c r="J449" s="57"/>
      <c r="M449" s="15"/>
    </row>
    <row r="450" ht="63.0" customHeight="1">
      <c r="A450" s="26"/>
      <c r="B450" s="26"/>
      <c r="C450" s="17" t="s">
        <v>151</v>
      </c>
      <c r="D450" s="37" t="s">
        <v>911</v>
      </c>
      <c r="E450" s="36" t="s">
        <v>637</v>
      </c>
      <c r="F450" s="38"/>
      <c r="I450" s="57"/>
      <c r="J450" s="57"/>
      <c r="M450" s="15"/>
    </row>
    <row r="451" ht="63.0" customHeight="1">
      <c r="A451" s="26"/>
      <c r="B451" s="26"/>
      <c r="C451" s="17" t="s">
        <v>151</v>
      </c>
      <c r="D451" s="37" t="s">
        <v>912</v>
      </c>
      <c r="E451" s="36" t="s">
        <v>632</v>
      </c>
      <c r="F451" s="38"/>
      <c r="I451" s="57"/>
      <c r="J451" s="57"/>
      <c r="M451" s="15"/>
    </row>
    <row r="452" ht="63.0" customHeight="1">
      <c r="A452" s="26"/>
      <c r="B452" s="26"/>
      <c r="C452" s="17" t="s">
        <v>151</v>
      </c>
      <c r="D452" s="37" t="s">
        <v>913</v>
      </c>
      <c r="E452" s="36" t="s">
        <v>637</v>
      </c>
      <c r="F452" s="38"/>
      <c r="I452" s="57"/>
      <c r="J452" s="57"/>
      <c r="M452" s="15"/>
    </row>
    <row r="453" ht="63.0" customHeight="1">
      <c r="A453" s="26"/>
      <c r="B453" s="26"/>
      <c r="C453" s="17" t="s">
        <v>151</v>
      </c>
      <c r="D453" s="37" t="s">
        <v>914</v>
      </c>
      <c r="E453" s="36" t="s">
        <v>637</v>
      </c>
      <c r="F453" s="38"/>
      <c r="I453" s="57"/>
      <c r="J453" s="57"/>
      <c r="M453" s="15"/>
    </row>
    <row r="454" ht="63.0" customHeight="1">
      <c r="A454" s="26"/>
      <c r="B454" s="26"/>
      <c r="C454" s="17" t="s">
        <v>151</v>
      </c>
      <c r="D454" s="37" t="s">
        <v>915</v>
      </c>
      <c r="E454" s="36" t="s">
        <v>637</v>
      </c>
      <c r="F454" s="38"/>
      <c r="I454" s="57"/>
      <c r="J454" s="57"/>
      <c r="M454" s="15"/>
    </row>
    <row r="455" ht="63.0" customHeight="1">
      <c r="A455" s="26"/>
      <c r="B455" s="26"/>
      <c r="C455" s="17" t="s">
        <v>151</v>
      </c>
      <c r="D455" s="37" t="s">
        <v>916</v>
      </c>
      <c r="E455" s="36" t="s">
        <v>637</v>
      </c>
      <c r="F455" s="38"/>
      <c r="I455" s="57"/>
      <c r="J455" s="57"/>
      <c r="M455" s="15"/>
    </row>
    <row r="456" ht="63.0" customHeight="1">
      <c r="A456" s="26"/>
      <c r="B456" s="26"/>
      <c r="C456" s="17" t="s">
        <v>151</v>
      </c>
      <c r="D456" s="37" t="s">
        <v>917</v>
      </c>
      <c r="E456" s="36" t="s">
        <v>637</v>
      </c>
      <c r="F456" s="38"/>
      <c r="I456" s="57"/>
      <c r="J456" s="57"/>
      <c r="M456" s="15"/>
    </row>
    <row r="457" ht="63.0" customHeight="1">
      <c r="A457" s="26"/>
      <c r="B457" s="26"/>
      <c r="C457" s="17" t="s">
        <v>151</v>
      </c>
      <c r="D457" s="37" t="s">
        <v>918</v>
      </c>
      <c r="E457" s="36" t="s">
        <v>632</v>
      </c>
      <c r="F457" s="38"/>
      <c r="I457" s="57"/>
      <c r="J457" s="57"/>
      <c r="M457" s="15"/>
    </row>
    <row r="458" ht="63.0" customHeight="1">
      <c r="A458" s="26"/>
      <c r="B458" s="26"/>
      <c r="C458" s="17" t="s">
        <v>151</v>
      </c>
      <c r="D458" s="37" t="s">
        <v>919</v>
      </c>
      <c r="E458" s="36" t="s">
        <v>637</v>
      </c>
      <c r="F458" s="38"/>
      <c r="I458" s="57"/>
      <c r="J458" s="57"/>
      <c r="M458" s="15"/>
    </row>
    <row r="459" ht="63.0" customHeight="1">
      <c r="A459" s="26"/>
      <c r="B459" s="26"/>
      <c r="C459" s="17" t="s">
        <v>151</v>
      </c>
      <c r="D459" s="37" t="s">
        <v>919</v>
      </c>
      <c r="E459" s="36" t="s">
        <v>637</v>
      </c>
      <c r="F459" s="38"/>
      <c r="I459" s="57"/>
      <c r="J459" s="57"/>
      <c r="M459" s="15"/>
    </row>
    <row r="460" ht="63.0" customHeight="1">
      <c r="A460" s="26"/>
      <c r="B460" s="26"/>
      <c r="C460" s="17" t="s">
        <v>151</v>
      </c>
      <c r="D460" s="37" t="s">
        <v>920</v>
      </c>
      <c r="E460" s="36" t="s">
        <v>632</v>
      </c>
      <c r="F460" s="38"/>
      <c r="I460" s="57"/>
      <c r="J460" s="57"/>
      <c r="M460" s="15"/>
    </row>
    <row r="461" ht="63.0" customHeight="1">
      <c r="A461" s="26"/>
      <c r="B461" s="26"/>
      <c r="C461" s="17" t="s">
        <v>151</v>
      </c>
      <c r="D461" s="37" t="s">
        <v>921</v>
      </c>
      <c r="E461" s="36" t="s">
        <v>632</v>
      </c>
      <c r="F461" s="38"/>
      <c r="I461" s="57"/>
      <c r="J461" s="57"/>
      <c r="M461" s="15"/>
    </row>
    <row r="462" ht="63.0" customHeight="1">
      <c r="A462" s="26"/>
      <c r="B462" s="26"/>
      <c r="C462" s="17" t="s">
        <v>151</v>
      </c>
      <c r="D462" s="37" t="s">
        <v>922</v>
      </c>
      <c r="E462" s="36" t="s">
        <v>632</v>
      </c>
      <c r="F462" s="38"/>
      <c r="I462" s="57"/>
      <c r="J462" s="57"/>
      <c r="M462" s="15"/>
    </row>
    <row r="463" ht="63.0" customHeight="1">
      <c r="A463" s="26"/>
      <c r="B463" s="26"/>
      <c r="C463" s="17" t="s">
        <v>151</v>
      </c>
      <c r="D463" s="37" t="s">
        <v>923</v>
      </c>
      <c r="E463" s="36" t="s">
        <v>632</v>
      </c>
      <c r="F463" s="38"/>
      <c r="I463" s="57"/>
      <c r="J463" s="57"/>
      <c r="M463" s="15"/>
    </row>
    <row r="464" ht="63.0" customHeight="1">
      <c r="A464" s="26"/>
      <c r="B464" s="26"/>
      <c r="C464" s="17" t="s">
        <v>151</v>
      </c>
      <c r="D464" s="37" t="s">
        <v>924</v>
      </c>
      <c r="E464" s="36" t="s">
        <v>632</v>
      </c>
      <c r="F464" s="38"/>
      <c r="I464" s="57"/>
      <c r="J464" s="57"/>
      <c r="M464" s="15"/>
    </row>
    <row r="465" ht="63.0" customHeight="1">
      <c r="A465" s="26"/>
      <c r="B465" s="26"/>
      <c r="C465" s="17" t="s">
        <v>151</v>
      </c>
      <c r="D465" s="37" t="s">
        <v>925</v>
      </c>
      <c r="E465" s="36" t="s">
        <v>632</v>
      </c>
      <c r="F465" s="38"/>
      <c r="I465" s="57"/>
      <c r="J465" s="57"/>
      <c r="M465" s="15"/>
    </row>
    <row r="466" ht="63.0" customHeight="1">
      <c r="A466" s="26"/>
      <c r="B466" s="26"/>
      <c r="C466" s="17" t="s">
        <v>151</v>
      </c>
      <c r="D466" s="37" t="s">
        <v>926</v>
      </c>
      <c r="E466" s="36" t="s">
        <v>632</v>
      </c>
      <c r="F466" s="38"/>
      <c r="I466" s="57"/>
      <c r="J466" s="57"/>
      <c r="M466" s="15"/>
    </row>
    <row r="467" ht="63.0" customHeight="1">
      <c r="A467" s="26"/>
      <c r="B467" s="26"/>
      <c r="C467" s="17" t="s">
        <v>151</v>
      </c>
      <c r="D467" s="37" t="s">
        <v>927</v>
      </c>
      <c r="E467" s="36" t="s">
        <v>632</v>
      </c>
      <c r="F467" s="38"/>
      <c r="I467" s="57"/>
      <c r="J467" s="57"/>
      <c r="M467" s="15"/>
    </row>
    <row r="468" ht="63.0" customHeight="1">
      <c r="A468" s="26"/>
      <c r="B468" s="26"/>
      <c r="C468" s="17" t="s">
        <v>151</v>
      </c>
      <c r="D468" s="37" t="s">
        <v>928</v>
      </c>
      <c r="E468" s="36" t="s">
        <v>632</v>
      </c>
      <c r="F468" s="38"/>
      <c r="I468" s="57"/>
      <c r="J468" s="57"/>
      <c r="M468" s="15"/>
    </row>
    <row r="469" ht="63.0" customHeight="1">
      <c r="A469" s="26"/>
      <c r="B469" s="26"/>
      <c r="C469" s="17" t="s">
        <v>151</v>
      </c>
      <c r="D469" s="37" t="s">
        <v>929</v>
      </c>
      <c r="E469" s="36" t="s">
        <v>632</v>
      </c>
      <c r="F469" s="38"/>
      <c r="I469" s="57"/>
      <c r="J469" s="57"/>
      <c r="M469" s="15"/>
    </row>
    <row r="470" ht="63.0" customHeight="1">
      <c r="A470" s="26"/>
      <c r="B470" s="26"/>
      <c r="C470" s="17" t="s">
        <v>151</v>
      </c>
      <c r="D470" s="37" t="s">
        <v>930</v>
      </c>
      <c r="E470" s="36" t="s">
        <v>632</v>
      </c>
      <c r="F470" s="38"/>
      <c r="I470" s="57"/>
      <c r="J470" s="57"/>
      <c r="M470" s="15"/>
    </row>
    <row r="471" ht="63.0" customHeight="1">
      <c r="A471" s="26"/>
      <c r="B471" s="26"/>
      <c r="C471" s="17" t="s">
        <v>151</v>
      </c>
      <c r="D471" s="37" t="s">
        <v>931</v>
      </c>
      <c r="E471" s="36" t="s">
        <v>632</v>
      </c>
      <c r="F471" s="38"/>
      <c r="I471" s="57"/>
      <c r="J471" s="57"/>
      <c r="M471" s="15"/>
    </row>
    <row r="472" ht="63.0" customHeight="1">
      <c r="A472" s="26"/>
      <c r="B472" s="26"/>
      <c r="C472" s="17" t="s">
        <v>151</v>
      </c>
      <c r="D472" s="37" t="s">
        <v>932</v>
      </c>
      <c r="E472" s="36" t="s">
        <v>632</v>
      </c>
      <c r="F472" s="38"/>
      <c r="I472" s="57"/>
      <c r="J472" s="57"/>
      <c r="M472" s="15"/>
    </row>
    <row r="473" ht="63.0" customHeight="1">
      <c r="A473" s="26"/>
      <c r="B473" s="26"/>
      <c r="C473" s="17" t="s">
        <v>151</v>
      </c>
      <c r="D473" s="37" t="s">
        <v>933</v>
      </c>
      <c r="E473" s="36" t="s">
        <v>632</v>
      </c>
      <c r="F473" s="38"/>
      <c r="I473" s="57"/>
      <c r="J473" s="57"/>
      <c r="M473" s="15"/>
    </row>
    <row r="474" ht="63.0" customHeight="1">
      <c r="A474" s="26"/>
      <c r="B474" s="26"/>
      <c r="C474" s="17" t="s">
        <v>151</v>
      </c>
      <c r="D474" s="37" t="s">
        <v>934</v>
      </c>
      <c r="E474" s="36" t="s">
        <v>632</v>
      </c>
      <c r="F474" s="38"/>
      <c r="I474" s="57"/>
      <c r="J474" s="57"/>
      <c r="M474" s="15"/>
    </row>
    <row r="475" ht="63.0" customHeight="1">
      <c r="A475" s="26"/>
      <c r="B475" s="26"/>
      <c r="C475" s="17" t="s">
        <v>151</v>
      </c>
      <c r="D475" s="37" t="s">
        <v>935</v>
      </c>
      <c r="E475" s="36" t="s">
        <v>630</v>
      </c>
      <c r="F475" s="38"/>
      <c r="I475" s="57"/>
      <c r="J475" s="57"/>
      <c r="M475" s="15"/>
    </row>
    <row r="476" ht="63.0" customHeight="1">
      <c r="A476" s="26"/>
      <c r="B476" s="26"/>
      <c r="C476" s="17" t="s">
        <v>151</v>
      </c>
      <c r="D476" s="37" t="s">
        <v>936</v>
      </c>
      <c r="E476" s="36" t="s">
        <v>630</v>
      </c>
      <c r="F476" s="38"/>
      <c r="I476" s="57"/>
      <c r="J476" s="57"/>
      <c r="M476" s="15"/>
    </row>
    <row r="477" ht="63.0" customHeight="1">
      <c r="A477" s="26"/>
      <c r="B477" s="26"/>
      <c r="C477" s="17" t="s">
        <v>151</v>
      </c>
      <c r="D477" s="37" t="s">
        <v>937</v>
      </c>
      <c r="E477" s="36" t="s">
        <v>632</v>
      </c>
      <c r="F477" s="38"/>
      <c r="I477" s="57"/>
      <c r="J477" s="57"/>
      <c r="M477" s="15"/>
    </row>
    <row r="478" ht="63.0" customHeight="1">
      <c r="A478" s="26"/>
      <c r="B478" s="26"/>
      <c r="C478" s="17" t="s">
        <v>151</v>
      </c>
      <c r="D478" s="37" t="s">
        <v>938</v>
      </c>
      <c r="E478" s="36" t="s">
        <v>632</v>
      </c>
      <c r="F478" s="38"/>
      <c r="I478" s="57"/>
      <c r="J478" s="57"/>
      <c r="M478" s="15"/>
    </row>
    <row r="479" ht="63.0" customHeight="1">
      <c r="A479" s="26"/>
      <c r="B479" s="26"/>
      <c r="C479" s="17" t="s">
        <v>151</v>
      </c>
      <c r="D479" s="37" t="s">
        <v>939</v>
      </c>
      <c r="E479" s="36" t="s">
        <v>632</v>
      </c>
      <c r="F479" s="38"/>
      <c r="I479" s="57"/>
      <c r="J479" s="57"/>
      <c r="M479" s="15"/>
    </row>
    <row r="480" ht="63.0" customHeight="1">
      <c r="A480" s="26"/>
      <c r="B480" s="26"/>
      <c r="C480" s="17" t="s">
        <v>151</v>
      </c>
      <c r="D480" s="37" t="s">
        <v>940</v>
      </c>
      <c r="E480" s="36" t="s">
        <v>632</v>
      </c>
      <c r="F480" s="38"/>
      <c r="I480" s="57"/>
      <c r="J480" s="57"/>
      <c r="M480" s="15"/>
    </row>
    <row r="481" ht="63.0" customHeight="1">
      <c r="A481" s="26"/>
      <c r="B481" s="26"/>
      <c r="C481" s="17" t="s">
        <v>151</v>
      </c>
      <c r="D481" s="37" t="s">
        <v>941</v>
      </c>
      <c r="E481" s="36" t="s">
        <v>632</v>
      </c>
      <c r="F481" s="38"/>
      <c r="I481" s="57"/>
      <c r="J481" s="57"/>
      <c r="M481" s="15"/>
    </row>
    <row r="482" ht="63.0" customHeight="1">
      <c r="A482" s="26"/>
      <c r="B482" s="26"/>
      <c r="C482" s="17" t="s">
        <v>151</v>
      </c>
      <c r="D482" s="37" t="s">
        <v>942</v>
      </c>
      <c r="E482" s="36" t="s">
        <v>632</v>
      </c>
      <c r="F482" s="38"/>
      <c r="I482" s="57"/>
      <c r="J482" s="57"/>
      <c r="M482" s="15"/>
    </row>
    <row r="483" ht="63.0" customHeight="1">
      <c r="A483" s="26"/>
      <c r="B483" s="26"/>
      <c r="C483" s="17" t="s">
        <v>151</v>
      </c>
      <c r="D483" s="37" t="s">
        <v>943</v>
      </c>
      <c r="E483" s="36" t="s">
        <v>632</v>
      </c>
      <c r="F483" s="38"/>
      <c r="I483" s="57"/>
      <c r="J483" s="57"/>
      <c r="M483" s="15"/>
    </row>
    <row r="484" ht="63.0" customHeight="1">
      <c r="A484" s="26"/>
      <c r="B484" s="26"/>
      <c r="C484" s="17" t="s">
        <v>151</v>
      </c>
      <c r="D484" s="37" t="s">
        <v>944</v>
      </c>
      <c r="E484" s="36" t="s">
        <v>945</v>
      </c>
      <c r="F484" s="38"/>
      <c r="I484" s="57"/>
      <c r="J484" s="57"/>
      <c r="M484" s="15"/>
    </row>
    <row r="485" ht="63.0" customHeight="1">
      <c r="A485" s="26"/>
      <c r="B485" s="26"/>
      <c r="C485" s="17" t="s">
        <v>151</v>
      </c>
      <c r="D485" s="37" t="s">
        <v>946</v>
      </c>
      <c r="E485" s="36" t="s">
        <v>632</v>
      </c>
      <c r="F485" s="38"/>
      <c r="I485" s="57"/>
      <c r="J485" s="57"/>
      <c r="M485" s="15"/>
    </row>
    <row r="486" ht="63.0" customHeight="1">
      <c r="A486" s="26"/>
      <c r="B486" s="26"/>
      <c r="C486" s="17" t="s">
        <v>151</v>
      </c>
      <c r="D486" s="37" t="s">
        <v>947</v>
      </c>
      <c r="E486" s="36" t="s">
        <v>632</v>
      </c>
      <c r="F486" s="38"/>
      <c r="I486" s="57"/>
      <c r="J486" s="57"/>
      <c r="M486" s="15"/>
    </row>
    <row r="487" ht="63.0" customHeight="1">
      <c r="A487" s="26"/>
      <c r="B487" s="26"/>
      <c r="C487" s="17" t="s">
        <v>151</v>
      </c>
      <c r="D487" s="37" t="s">
        <v>948</v>
      </c>
      <c r="E487" s="36" t="s">
        <v>632</v>
      </c>
      <c r="F487" s="38"/>
      <c r="I487" s="57"/>
      <c r="J487" s="57"/>
      <c r="M487" s="15"/>
    </row>
    <row r="488" ht="63.0" customHeight="1">
      <c r="A488" s="26"/>
      <c r="B488" s="26"/>
      <c r="C488" s="17" t="s">
        <v>151</v>
      </c>
      <c r="D488" s="37" t="s">
        <v>948</v>
      </c>
      <c r="E488" s="36" t="s">
        <v>632</v>
      </c>
      <c r="F488" s="38"/>
      <c r="I488" s="57"/>
      <c r="J488" s="57"/>
      <c r="M488" s="15"/>
    </row>
    <row r="489" ht="63.0" customHeight="1">
      <c r="A489" s="26"/>
      <c r="B489" s="26"/>
      <c r="C489" s="17" t="s">
        <v>151</v>
      </c>
      <c r="D489" s="37" t="s">
        <v>949</v>
      </c>
      <c r="E489" s="36" t="s">
        <v>632</v>
      </c>
      <c r="F489" s="38"/>
      <c r="I489" s="57"/>
      <c r="J489" s="57"/>
      <c r="M489" s="15"/>
    </row>
    <row r="490" ht="63.0" customHeight="1">
      <c r="A490" s="26"/>
      <c r="B490" s="26"/>
      <c r="C490" s="17" t="s">
        <v>151</v>
      </c>
      <c r="D490" s="37" t="s">
        <v>949</v>
      </c>
      <c r="E490" s="36" t="s">
        <v>632</v>
      </c>
      <c r="F490" s="38"/>
      <c r="I490" s="57"/>
      <c r="J490" s="57"/>
      <c r="M490" s="15"/>
    </row>
    <row r="491" ht="63.0" customHeight="1">
      <c r="A491" s="26"/>
      <c r="B491" s="26"/>
      <c r="C491" s="17" t="s">
        <v>151</v>
      </c>
      <c r="D491" s="37" t="s">
        <v>949</v>
      </c>
      <c r="E491" s="36" t="s">
        <v>632</v>
      </c>
      <c r="F491" s="38"/>
      <c r="I491" s="57"/>
      <c r="J491" s="57"/>
      <c r="M491" s="15"/>
    </row>
    <row r="492" ht="63.0" customHeight="1">
      <c r="A492" s="26"/>
      <c r="B492" s="26"/>
      <c r="C492" s="17" t="s">
        <v>151</v>
      </c>
      <c r="D492" s="37" t="s">
        <v>949</v>
      </c>
      <c r="E492" s="36" t="s">
        <v>632</v>
      </c>
      <c r="F492" s="38"/>
      <c r="I492" s="57"/>
      <c r="J492" s="57"/>
      <c r="M492" s="15"/>
    </row>
    <row r="493" ht="63.0" customHeight="1">
      <c r="A493" s="26"/>
      <c r="B493" s="26"/>
      <c r="C493" s="17" t="s">
        <v>151</v>
      </c>
      <c r="D493" s="37" t="s">
        <v>950</v>
      </c>
      <c r="E493" s="36" t="s">
        <v>632</v>
      </c>
      <c r="F493" s="38"/>
      <c r="I493" s="57"/>
      <c r="J493" s="57"/>
      <c r="M493" s="15"/>
    </row>
    <row r="494" ht="63.0" customHeight="1">
      <c r="A494" s="26"/>
      <c r="B494" s="26"/>
      <c r="C494" s="17" t="s">
        <v>151</v>
      </c>
      <c r="D494" s="37" t="s">
        <v>951</v>
      </c>
      <c r="E494" s="36" t="s">
        <v>632</v>
      </c>
      <c r="F494" s="38"/>
      <c r="I494" s="57"/>
      <c r="J494" s="57"/>
      <c r="M494" s="15"/>
    </row>
    <row r="495" ht="63.0" customHeight="1">
      <c r="A495" s="26"/>
      <c r="B495" s="26"/>
      <c r="C495" s="17" t="s">
        <v>151</v>
      </c>
      <c r="D495" s="37" t="s">
        <v>952</v>
      </c>
      <c r="E495" s="36" t="s">
        <v>632</v>
      </c>
      <c r="F495" s="38"/>
      <c r="I495" s="57"/>
      <c r="J495" s="57"/>
      <c r="M495" s="15"/>
    </row>
    <row r="496" ht="63.0" customHeight="1">
      <c r="A496" s="26"/>
      <c r="B496" s="26"/>
      <c r="C496" s="17" t="s">
        <v>151</v>
      </c>
      <c r="D496" s="37" t="s">
        <v>953</v>
      </c>
      <c r="E496" s="36" t="s">
        <v>632</v>
      </c>
      <c r="F496" s="38"/>
      <c r="I496" s="57"/>
      <c r="J496" s="57"/>
      <c r="M496" s="15"/>
    </row>
    <row r="497" ht="63.0" customHeight="1">
      <c r="A497" s="26"/>
      <c r="B497" s="26"/>
      <c r="C497" s="17" t="s">
        <v>151</v>
      </c>
      <c r="D497" s="37" t="s">
        <v>954</v>
      </c>
      <c r="E497" s="36" t="s">
        <v>632</v>
      </c>
      <c r="F497" s="38"/>
      <c r="I497" s="57"/>
      <c r="J497" s="57"/>
      <c r="M497" s="15"/>
    </row>
    <row r="498" ht="63.0" customHeight="1">
      <c r="A498" s="26"/>
      <c r="B498" s="26"/>
      <c r="C498" s="17" t="s">
        <v>151</v>
      </c>
      <c r="D498" s="37" t="s">
        <v>955</v>
      </c>
      <c r="E498" s="36" t="s">
        <v>632</v>
      </c>
      <c r="F498" s="38"/>
      <c r="I498" s="57"/>
      <c r="J498" s="57"/>
      <c r="M498" s="15"/>
    </row>
    <row r="499" ht="63.0" customHeight="1">
      <c r="A499" s="26"/>
      <c r="B499" s="26"/>
      <c r="C499" s="17" t="s">
        <v>151</v>
      </c>
      <c r="D499" s="37" t="s">
        <v>956</v>
      </c>
      <c r="E499" s="36" t="s">
        <v>632</v>
      </c>
      <c r="F499" s="38"/>
      <c r="I499" s="57"/>
      <c r="J499" s="57"/>
      <c r="M499" s="15"/>
    </row>
    <row r="500" ht="63.0" customHeight="1">
      <c r="A500" s="26"/>
      <c r="B500" s="26"/>
      <c r="C500" s="17" t="s">
        <v>151</v>
      </c>
      <c r="D500" s="37" t="s">
        <v>957</v>
      </c>
      <c r="E500" s="36" t="s">
        <v>632</v>
      </c>
      <c r="F500" s="38"/>
      <c r="I500" s="57"/>
      <c r="J500" s="57"/>
      <c r="M500" s="15"/>
    </row>
    <row r="501" ht="63.0" customHeight="1">
      <c r="A501" s="26"/>
      <c r="B501" s="26"/>
      <c r="C501" s="17" t="s">
        <v>151</v>
      </c>
      <c r="D501" s="37" t="s">
        <v>958</v>
      </c>
      <c r="E501" s="36" t="s">
        <v>632</v>
      </c>
      <c r="F501" s="38"/>
      <c r="I501" s="57"/>
      <c r="J501" s="57"/>
      <c r="M501" s="15"/>
    </row>
    <row r="502" ht="63.0" customHeight="1">
      <c r="A502" s="26"/>
      <c r="B502" s="26"/>
      <c r="C502" s="17" t="s">
        <v>151</v>
      </c>
      <c r="D502" s="37" t="s">
        <v>959</v>
      </c>
      <c r="E502" s="36" t="s">
        <v>632</v>
      </c>
      <c r="F502" s="38"/>
      <c r="I502" s="57"/>
      <c r="J502" s="57"/>
      <c r="M502" s="15"/>
    </row>
    <row r="503" ht="63.0" customHeight="1">
      <c r="A503" s="26"/>
      <c r="B503" s="26"/>
      <c r="C503" s="17" t="s">
        <v>151</v>
      </c>
      <c r="D503" s="37" t="s">
        <v>960</v>
      </c>
      <c r="E503" s="36" t="s">
        <v>945</v>
      </c>
      <c r="F503" s="38"/>
      <c r="I503" s="57"/>
      <c r="J503" s="57"/>
      <c r="M503" s="15"/>
    </row>
    <row r="504" ht="63.0" customHeight="1">
      <c r="A504" s="26"/>
      <c r="B504" s="26"/>
      <c r="C504" s="17" t="s">
        <v>151</v>
      </c>
      <c r="D504" s="37" t="s">
        <v>960</v>
      </c>
      <c r="E504" s="36" t="s">
        <v>945</v>
      </c>
      <c r="F504" s="38"/>
      <c r="I504" s="57"/>
      <c r="J504" s="57"/>
      <c r="M504" s="15"/>
    </row>
    <row r="505" ht="63.0" customHeight="1">
      <c r="A505" s="26"/>
      <c r="B505" s="26"/>
      <c r="C505" s="17" t="s">
        <v>151</v>
      </c>
      <c r="D505" s="37" t="s">
        <v>960</v>
      </c>
      <c r="E505" s="36" t="s">
        <v>945</v>
      </c>
      <c r="F505" s="38"/>
      <c r="I505" s="57"/>
      <c r="J505" s="57"/>
      <c r="M505" s="15"/>
    </row>
    <row r="506" ht="63.0" customHeight="1">
      <c r="A506" s="26"/>
      <c r="B506" s="26"/>
      <c r="C506" s="17" t="s">
        <v>151</v>
      </c>
      <c r="D506" s="37" t="s">
        <v>960</v>
      </c>
      <c r="E506" s="36" t="s">
        <v>945</v>
      </c>
      <c r="F506" s="38"/>
      <c r="I506" s="57"/>
      <c r="J506" s="57"/>
      <c r="M506" s="15"/>
    </row>
    <row r="507" ht="63.0" customHeight="1">
      <c r="A507" s="26"/>
      <c r="B507" s="26"/>
      <c r="C507" s="17" t="s">
        <v>151</v>
      </c>
      <c r="D507" s="37" t="s">
        <v>960</v>
      </c>
      <c r="E507" s="36" t="s">
        <v>945</v>
      </c>
      <c r="F507" s="38"/>
      <c r="I507" s="57"/>
      <c r="J507" s="57"/>
      <c r="M507" s="15"/>
    </row>
    <row r="508" ht="63.0" customHeight="1">
      <c r="A508" s="26"/>
      <c r="B508" s="26"/>
      <c r="C508" s="17" t="s">
        <v>151</v>
      </c>
      <c r="D508" s="37" t="s">
        <v>961</v>
      </c>
      <c r="E508" s="36" t="s">
        <v>945</v>
      </c>
      <c r="F508" s="38"/>
      <c r="I508" s="57"/>
      <c r="J508" s="57"/>
      <c r="M508" s="15"/>
    </row>
    <row r="509" ht="63.0" customHeight="1">
      <c r="A509" s="26"/>
      <c r="B509" s="26"/>
      <c r="C509" s="17" t="s">
        <v>151</v>
      </c>
      <c r="D509" s="37" t="s">
        <v>961</v>
      </c>
      <c r="E509" s="36" t="s">
        <v>945</v>
      </c>
      <c r="F509" s="38"/>
      <c r="I509" s="57"/>
      <c r="J509" s="57"/>
      <c r="M509" s="15"/>
    </row>
    <row r="510" ht="63.0" customHeight="1">
      <c r="A510" s="26"/>
      <c r="B510" s="26"/>
      <c r="C510" s="17" t="s">
        <v>151</v>
      </c>
      <c r="D510" s="37" t="s">
        <v>962</v>
      </c>
      <c r="E510" s="36" t="s">
        <v>945</v>
      </c>
      <c r="F510" s="38"/>
      <c r="I510" s="57"/>
      <c r="J510" s="57"/>
      <c r="M510" s="15"/>
    </row>
    <row r="511" ht="63.0" customHeight="1">
      <c r="A511" s="26"/>
      <c r="B511" s="26"/>
      <c r="C511" s="17" t="s">
        <v>151</v>
      </c>
      <c r="D511" s="37" t="s">
        <v>963</v>
      </c>
      <c r="E511" s="36" t="s">
        <v>632</v>
      </c>
      <c r="F511" s="38"/>
      <c r="I511" s="57"/>
      <c r="J511" s="57"/>
      <c r="M511" s="15"/>
    </row>
    <row r="512" ht="63.0" customHeight="1">
      <c r="A512" s="26"/>
      <c r="B512" s="26"/>
      <c r="C512" s="17" t="s">
        <v>151</v>
      </c>
      <c r="D512" s="37" t="s">
        <v>964</v>
      </c>
      <c r="E512" s="36" t="s">
        <v>632</v>
      </c>
      <c r="F512" s="38"/>
      <c r="I512" s="57"/>
      <c r="J512" s="57"/>
      <c r="M512" s="15"/>
    </row>
    <row r="513" ht="63.0" customHeight="1">
      <c r="A513" s="26"/>
      <c r="B513" s="26"/>
      <c r="C513" s="17" t="s">
        <v>151</v>
      </c>
      <c r="D513" s="37" t="s">
        <v>965</v>
      </c>
      <c r="E513" s="36" t="s">
        <v>632</v>
      </c>
      <c r="F513" s="38"/>
      <c r="I513" s="57"/>
      <c r="J513" s="57"/>
      <c r="M513" s="15"/>
    </row>
    <row r="514" ht="63.0" customHeight="1">
      <c r="A514" s="26"/>
      <c r="B514" s="26"/>
      <c r="C514" s="17" t="s">
        <v>151</v>
      </c>
      <c r="D514" s="37" t="s">
        <v>966</v>
      </c>
      <c r="E514" s="36" t="s">
        <v>632</v>
      </c>
      <c r="F514" s="38"/>
      <c r="I514" s="57"/>
      <c r="J514" s="57"/>
      <c r="M514" s="15"/>
    </row>
    <row r="515" ht="63.0" customHeight="1">
      <c r="A515" s="26"/>
      <c r="B515" s="26"/>
      <c r="C515" s="17" t="s">
        <v>151</v>
      </c>
      <c r="D515" s="37" t="s">
        <v>967</v>
      </c>
      <c r="E515" s="36" t="s">
        <v>632</v>
      </c>
      <c r="F515" s="38"/>
      <c r="I515" s="57"/>
      <c r="J515" s="57"/>
      <c r="M515" s="15"/>
    </row>
    <row r="516" ht="63.0" customHeight="1">
      <c r="A516" s="26"/>
      <c r="B516" s="26"/>
      <c r="C516" s="17" t="s">
        <v>151</v>
      </c>
      <c r="D516" s="37" t="s">
        <v>968</v>
      </c>
      <c r="E516" s="36" t="s">
        <v>632</v>
      </c>
      <c r="F516" s="38"/>
      <c r="I516" s="57"/>
      <c r="J516" s="57"/>
      <c r="M516" s="15"/>
    </row>
    <row r="517" ht="63.0" customHeight="1">
      <c r="A517" s="26"/>
      <c r="B517" s="26"/>
      <c r="C517" s="17" t="s">
        <v>151</v>
      </c>
      <c r="D517" s="37" t="s">
        <v>969</v>
      </c>
      <c r="E517" s="36" t="s">
        <v>632</v>
      </c>
      <c r="F517" s="38"/>
      <c r="I517" s="57"/>
      <c r="J517" s="57"/>
      <c r="M517" s="15"/>
    </row>
    <row r="518" ht="63.0" customHeight="1">
      <c r="A518" s="26"/>
      <c r="B518" s="26"/>
      <c r="C518" s="17" t="s">
        <v>151</v>
      </c>
      <c r="D518" s="37" t="s">
        <v>970</v>
      </c>
      <c r="E518" s="36" t="s">
        <v>632</v>
      </c>
      <c r="F518" s="38"/>
      <c r="I518" s="57"/>
      <c r="J518" s="57"/>
      <c r="M518" s="15"/>
    </row>
    <row r="519" ht="63.0" customHeight="1">
      <c r="A519" s="26"/>
      <c r="B519" s="26"/>
      <c r="C519" s="17" t="s">
        <v>151</v>
      </c>
      <c r="D519" s="37" t="s">
        <v>971</v>
      </c>
      <c r="E519" s="36" t="s">
        <v>632</v>
      </c>
      <c r="F519" s="38"/>
      <c r="I519" s="57"/>
      <c r="J519" s="57"/>
      <c r="M519" s="15"/>
    </row>
    <row r="520" ht="63.0" customHeight="1">
      <c r="A520" s="26"/>
      <c r="B520" s="26"/>
      <c r="C520" s="17" t="s">
        <v>151</v>
      </c>
      <c r="D520" s="37" t="s">
        <v>972</v>
      </c>
      <c r="E520" s="36" t="s">
        <v>768</v>
      </c>
      <c r="F520" s="38"/>
      <c r="I520" s="57"/>
      <c r="J520" s="57"/>
      <c r="M520" s="15"/>
    </row>
    <row r="521" ht="63.0" customHeight="1">
      <c r="A521" s="26"/>
      <c r="B521" s="26"/>
      <c r="C521" s="17" t="s">
        <v>151</v>
      </c>
      <c r="D521" s="37" t="s">
        <v>973</v>
      </c>
      <c r="E521" s="36" t="s">
        <v>768</v>
      </c>
      <c r="F521" s="38"/>
      <c r="I521" s="57"/>
      <c r="J521" s="57"/>
      <c r="M521" s="15"/>
    </row>
    <row r="522" ht="63.0" customHeight="1">
      <c r="A522" s="26"/>
      <c r="B522" s="26"/>
      <c r="C522" s="17" t="s">
        <v>151</v>
      </c>
      <c r="D522" s="37" t="s">
        <v>974</v>
      </c>
      <c r="E522" s="36" t="s">
        <v>632</v>
      </c>
      <c r="F522" s="38"/>
      <c r="I522" s="57"/>
      <c r="J522" s="57"/>
      <c r="M522" s="15"/>
    </row>
    <row r="523" ht="63.0" customHeight="1">
      <c r="A523" s="26"/>
      <c r="B523" s="26"/>
      <c r="C523" s="17" t="s">
        <v>151</v>
      </c>
      <c r="D523" s="37" t="s">
        <v>975</v>
      </c>
      <c r="E523" s="36" t="s">
        <v>632</v>
      </c>
      <c r="F523" s="38"/>
      <c r="I523" s="57"/>
      <c r="J523" s="57"/>
      <c r="M523" s="15"/>
    </row>
    <row r="524" ht="63.0" customHeight="1">
      <c r="A524" s="26"/>
      <c r="B524" s="26"/>
      <c r="C524" s="17" t="s">
        <v>151</v>
      </c>
      <c r="D524" s="37" t="s">
        <v>976</v>
      </c>
      <c r="E524" s="36" t="s">
        <v>632</v>
      </c>
      <c r="F524" s="38"/>
      <c r="I524" s="57"/>
      <c r="J524" s="57"/>
      <c r="M524" s="15"/>
    </row>
    <row r="525" ht="63.0" customHeight="1">
      <c r="A525" s="26"/>
      <c r="B525" s="26"/>
      <c r="C525" s="17" t="s">
        <v>151</v>
      </c>
      <c r="D525" s="37" t="s">
        <v>977</v>
      </c>
      <c r="E525" s="36" t="s">
        <v>768</v>
      </c>
      <c r="F525" s="38"/>
      <c r="I525" s="57"/>
      <c r="J525" s="57"/>
      <c r="M525" s="15"/>
    </row>
    <row r="526" ht="63.0" customHeight="1">
      <c r="A526" s="26"/>
      <c r="B526" s="26"/>
      <c r="C526" s="17" t="s">
        <v>151</v>
      </c>
      <c r="D526" s="37" t="s">
        <v>978</v>
      </c>
      <c r="E526" s="36" t="s">
        <v>632</v>
      </c>
      <c r="F526" s="38"/>
      <c r="I526" s="57"/>
      <c r="J526" s="57"/>
      <c r="M526" s="15"/>
    </row>
    <row r="527" ht="63.0" customHeight="1">
      <c r="A527" s="26"/>
      <c r="B527" s="26"/>
      <c r="C527" s="17" t="s">
        <v>151</v>
      </c>
      <c r="D527" s="37" t="s">
        <v>978</v>
      </c>
      <c r="E527" s="36" t="s">
        <v>632</v>
      </c>
      <c r="F527" s="38"/>
      <c r="I527" s="57"/>
      <c r="J527" s="57"/>
      <c r="M527" s="15"/>
    </row>
    <row r="528" ht="63.0" customHeight="1">
      <c r="A528" s="26"/>
      <c r="B528" s="26"/>
      <c r="C528" s="17" t="s">
        <v>151</v>
      </c>
      <c r="D528" s="37" t="s">
        <v>978</v>
      </c>
      <c r="E528" s="36" t="s">
        <v>632</v>
      </c>
      <c r="F528" s="38"/>
      <c r="I528" s="57"/>
      <c r="J528" s="57"/>
      <c r="M528" s="15"/>
    </row>
    <row r="529" ht="63.0" customHeight="1">
      <c r="A529" s="26"/>
      <c r="B529" s="26"/>
      <c r="C529" s="17" t="s">
        <v>151</v>
      </c>
      <c r="D529" s="37" t="s">
        <v>979</v>
      </c>
      <c r="E529" s="36" t="s">
        <v>768</v>
      </c>
      <c r="F529" s="38"/>
      <c r="I529" s="57"/>
      <c r="J529" s="57"/>
      <c r="M529" s="15"/>
    </row>
    <row r="530" ht="63.0" customHeight="1">
      <c r="A530" s="26"/>
      <c r="B530" s="26"/>
      <c r="C530" s="17" t="s">
        <v>151</v>
      </c>
      <c r="D530" s="37" t="s">
        <v>629</v>
      </c>
      <c r="E530" s="36" t="s">
        <v>630</v>
      </c>
      <c r="F530" s="38"/>
      <c r="I530" s="57"/>
      <c r="J530" s="57"/>
      <c r="M530" s="15"/>
    </row>
    <row r="531" ht="63.0" customHeight="1">
      <c r="A531" s="26"/>
      <c r="B531" s="26"/>
      <c r="C531" s="17" t="s">
        <v>151</v>
      </c>
      <c r="D531" s="37" t="s">
        <v>629</v>
      </c>
      <c r="E531" s="36" t="s">
        <v>630</v>
      </c>
      <c r="F531" s="38"/>
      <c r="I531" s="57"/>
      <c r="J531" s="57"/>
      <c r="M531" s="15"/>
    </row>
    <row r="532" ht="63.0" customHeight="1">
      <c r="A532" s="26"/>
      <c r="B532" s="26"/>
      <c r="C532" s="17" t="s">
        <v>151</v>
      </c>
      <c r="D532" s="37" t="s">
        <v>980</v>
      </c>
      <c r="E532" s="36" t="s">
        <v>632</v>
      </c>
      <c r="F532" s="38"/>
      <c r="I532" s="57"/>
      <c r="J532" s="57"/>
      <c r="M532" s="15"/>
    </row>
    <row r="533" ht="63.0" customHeight="1">
      <c r="A533" s="26"/>
      <c r="B533" s="26"/>
      <c r="C533" s="17" t="s">
        <v>151</v>
      </c>
      <c r="D533" s="37" t="s">
        <v>981</v>
      </c>
      <c r="E533" s="36" t="s">
        <v>768</v>
      </c>
      <c r="F533" s="38"/>
      <c r="I533" s="57"/>
      <c r="J533" s="57"/>
      <c r="M533" s="15"/>
    </row>
    <row r="534" ht="63.0" customHeight="1">
      <c r="A534" s="26"/>
      <c r="B534" s="26"/>
      <c r="C534" s="17" t="s">
        <v>151</v>
      </c>
      <c r="D534" s="37" t="s">
        <v>982</v>
      </c>
      <c r="E534" s="36" t="s">
        <v>632</v>
      </c>
      <c r="F534" s="38"/>
      <c r="I534" s="57"/>
      <c r="J534" s="57"/>
      <c r="M534" s="15"/>
    </row>
    <row r="535" ht="63.0" customHeight="1">
      <c r="A535" s="26"/>
      <c r="B535" s="26"/>
      <c r="C535" s="17" t="s">
        <v>151</v>
      </c>
      <c r="D535" s="37" t="s">
        <v>983</v>
      </c>
      <c r="E535" s="36" t="s">
        <v>632</v>
      </c>
      <c r="F535" s="38"/>
      <c r="I535" s="57"/>
      <c r="J535" s="57"/>
      <c r="M535" s="15"/>
    </row>
    <row r="536" ht="63.0" customHeight="1">
      <c r="A536" s="26"/>
      <c r="B536" s="26"/>
      <c r="C536" s="17" t="s">
        <v>151</v>
      </c>
      <c r="D536" s="37" t="s">
        <v>984</v>
      </c>
      <c r="E536" s="36" t="s">
        <v>632</v>
      </c>
      <c r="F536" s="38"/>
      <c r="I536" s="57"/>
      <c r="J536" s="57"/>
      <c r="M536" s="15"/>
    </row>
    <row r="537" ht="63.0" customHeight="1">
      <c r="A537" s="26"/>
      <c r="B537" s="26"/>
      <c r="C537" s="17" t="s">
        <v>151</v>
      </c>
      <c r="D537" s="37" t="s">
        <v>985</v>
      </c>
      <c r="E537" s="36" t="s">
        <v>632</v>
      </c>
      <c r="F537" s="38"/>
      <c r="I537" s="57"/>
      <c r="J537" s="57"/>
      <c r="M537" s="15"/>
    </row>
    <row r="538" ht="63.0" customHeight="1">
      <c r="A538" s="26"/>
      <c r="B538" s="26"/>
      <c r="C538" s="17" t="s">
        <v>151</v>
      </c>
      <c r="D538" s="37" t="s">
        <v>986</v>
      </c>
      <c r="E538" s="36" t="s">
        <v>632</v>
      </c>
      <c r="F538" s="38"/>
      <c r="I538" s="57"/>
      <c r="J538" s="57"/>
      <c r="M538" s="15"/>
    </row>
    <row r="539" ht="63.0" customHeight="1">
      <c r="A539" s="26"/>
      <c r="B539" s="26"/>
      <c r="C539" s="17" t="s">
        <v>151</v>
      </c>
      <c r="D539" s="37" t="s">
        <v>987</v>
      </c>
      <c r="E539" s="36" t="s">
        <v>632</v>
      </c>
      <c r="F539" s="38"/>
      <c r="I539" s="57"/>
      <c r="J539" s="57"/>
      <c r="M539" s="15"/>
    </row>
    <row r="540" ht="63.0" customHeight="1">
      <c r="A540" s="26"/>
      <c r="B540" s="26"/>
      <c r="C540" s="17" t="s">
        <v>151</v>
      </c>
      <c r="D540" s="37" t="s">
        <v>988</v>
      </c>
      <c r="E540" s="36" t="s">
        <v>632</v>
      </c>
      <c r="F540" s="38"/>
      <c r="I540" s="57"/>
      <c r="J540" s="57"/>
      <c r="M540" s="15"/>
    </row>
    <row r="541" ht="63.0" customHeight="1">
      <c r="A541" s="26"/>
      <c r="B541" s="26"/>
      <c r="C541" s="17" t="s">
        <v>151</v>
      </c>
      <c r="D541" s="37" t="s">
        <v>989</v>
      </c>
      <c r="E541" s="36" t="s">
        <v>632</v>
      </c>
      <c r="F541" s="38"/>
      <c r="I541" s="57"/>
      <c r="J541" s="57"/>
      <c r="M541" s="15"/>
    </row>
    <row r="542" ht="63.0" customHeight="1">
      <c r="A542" s="26"/>
      <c r="B542" s="26"/>
      <c r="C542" s="17" t="s">
        <v>151</v>
      </c>
      <c r="D542" s="37" t="s">
        <v>990</v>
      </c>
      <c r="E542" s="36" t="s">
        <v>768</v>
      </c>
      <c r="F542" s="38"/>
      <c r="I542" s="57"/>
      <c r="J542" s="57"/>
      <c r="M542" s="15"/>
    </row>
    <row r="543" ht="63.0" customHeight="1">
      <c r="A543" s="26"/>
      <c r="B543" s="26"/>
      <c r="C543" s="17" t="s">
        <v>151</v>
      </c>
      <c r="D543" s="37" t="s">
        <v>991</v>
      </c>
      <c r="E543" s="36" t="s">
        <v>632</v>
      </c>
      <c r="F543" s="38"/>
      <c r="I543" s="57"/>
      <c r="J543" s="57"/>
      <c r="M543" s="15"/>
    </row>
    <row r="544" ht="63.0" customHeight="1">
      <c r="A544" s="26"/>
      <c r="B544" s="26"/>
      <c r="C544" s="17" t="s">
        <v>151</v>
      </c>
      <c r="D544" s="37" t="s">
        <v>992</v>
      </c>
      <c r="E544" s="36" t="s">
        <v>768</v>
      </c>
      <c r="F544" s="38"/>
      <c r="I544" s="57"/>
      <c r="J544" s="57"/>
      <c r="M544" s="15"/>
    </row>
    <row r="545" ht="63.0" customHeight="1">
      <c r="A545" s="26"/>
      <c r="B545" s="26"/>
      <c r="C545" s="17" t="s">
        <v>151</v>
      </c>
      <c r="D545" s="37" t="s">
        <v>993</v>
      </c>
      <c r="E545" s="36" t="s">
        <v>478</v>
      </c>
      <c r="F545" s="38"/>
      <c r="I545" s="57"/>
      <c r="J545" s="57"/>
      <c r="M545" s="15"/>
    </row>
    <row r="546" ht="63.0" customHeight="1">
      <c r="A546" s="26"/>
      <c r="B546" s="26"/>
      <c r="C546" s="17" t="s">
        <v>151</v>
      </c>
      <c r="D546" s="37" t="s">
        <v>994</v>
      </c>
      <c r="E546" s="36" t="s">
        <v>632</v>
      </c>
      <c r="F546" s="38"/>
      <c r="I546" s="57"/>
      <c r="J546" s="57"/>
      <c r="M546" s="15"/>
    </row>
    <row r="547" ht="63.0" customHeight="1">
      <c r="A547" s="26"/>
      <c r="B547" s="26"/>
      <c r="C547" s="17" t="s">
        <v>151</v>
      </c>
      <c r="D547" s="37" t="s">
        <v>994</v>
      </c>
      <c r="E547" s="36" t="s">
        <v>632</v>
      </c>
      <c r="F547" s="38"/>
      <c r="I547" s="57"/>
      <c r="J547" s="57"/>
      <c r="M547" s="15"/>
    </row>
    <row r="548" ht="63.0" customHeight="1">
      <c r="A548" s="26"/>
      <c r="B548" s="26"/>
      <c r="C548" s="17" t="s">
        <v>151</v>
      </c>
      <c r="D548" s="37" t="s">
        <v>994</v>
      </c>
      <c r="E548" s="36" t="s">
        <v>632</v>
      </c>
      <c r="F548" s="38"/>
      <c r="I548" s="57"/>
      <c r="J548" s="57"/>
      <c r="M548" s="15"/>
    </row>
    <row r="549" ht="63.0" customHeight="1">
      <c r="A549" s="26"/>
      <c r="B549" s="26"/>
      <c r="C549" s="17" t="s">
        <v>151</v>
      </c>
      <c r="D549" s="37" t="s">
        <v>994</v>
      </c>
      <c r="E549" s="36" t="s">
        <v>632</v>
      </c>
      <c r="F549" s="38"/>
      <c r="I549" s="57"/>
      <c r="J549" s="57"/>
      <c r="M549" s="15"/>
    </row>
    <row r="550" ht="63.0" customHeight="1">
      <c r="A550" s="26"/>
      <c r="B550" s="26"/>
      <c r="C550" s="17" t="s">
        <v>151</v>
      </c>
      <c r="D550" s="37" t="s">
        <v>995</v>
      </c>
      <c r="E550" s="36" t="s">
        <v>632</v>
      </c>
      <c r="F550" s="38"/>
      <c r="I550" s="57"/>
      <c r="J550" s="57"/>
      <c r="M550" s="15"/>
    </row>
    <row r="551" ht="63.0" customHeight="1">
      <c r="A551" s="26"/>
      <c r="B551" s="26"/>
      <c r="C551" s="17" t="s">
        <v>151</v>
      </c>
      <c r="D551" s="37" t="s">
        <v>996</v>
      </c>
      <c r="E551" s="36" t="s">
        <v>632</v>
      </c>
      <c r="F551" s="38"/>
      <c r="I551" s="57"/>
      <c r="J551" s="57"/>
      <c r="M551" s="15"/>
    </row>
    <row r="552" ht="63.0" customHeight="1">
      <c r="A552" s="26"/>
      <c r="B552" s="26"/>
      <c r="C552" s="17" t="s">
        <v>151</v>
      </c>
      <c r="D552" s="37" t="s">
        <v>997</v>
      </c>
      <c r="E552" s="36" t="s">
        <v>632</v>
      </c>
      <c r="F552" s="38"/>
      <c r="I552" s="57"/>
      <c r="J552" s="57"/>
      <c r="M552" s="15"/>
    </row>
    <row r="553" ht="63.0" customHeight="1">
      <c r="A553" s="26"/>
      <c r="B553" s="26"/>
      <c r="C553" s="17" t="s">
        <v>151</v>
      </c>
      <c r="D553" s="37" t="s">
        <v>998</v>
      </c>
      <c r="E553" s="36" t="s">
        <v>632</v>
      </c>
      <c r="F553" s="38"/>
      <c r="I553" s="57"/>
      <c r="J553" s="57"/>
      <c r="M553" s="15"/>
    </row>
    <row r="554" ht="63.0" customHeight="1">
      <c r="A554" s="26"/>
      <c r="B554" s="26"/>
      <c r="C554" s="17" t="s">
        <v>151</v>
      </c>
      <c r="D554" s="37" t="s">
        <v>998</v>
      </c>
      <c r="E554" s="36" t="s">
        <v>632</v>
      </c>
      <c r="F554" s="38"/>
      <c r="I554" s="57"/>
      <c r="J554" s="57"/>
      <c r="M554" s="15"/>
    </row>
    <row r="555" ht="63.0" customHeight="1">
      <c r="A555" s="26"/>
      <c r="B555" s="26"/>
      <c r="C555" s="17" t="s">
        <v>151</v>
      </c>
      <c r="D555" s="37" t="s">
        <v>999</v>
      </c>
      <c r="E555" s="36" t="s">
        <v>768</v>
      </c>
      <c r="F555" s="38"/>
      <c r="I555" s="57"/>
      <c r="J555" s="57"/>
      <c r="M555" s="15"/>
    </row>
    <row r="556" ht="63.0" customHeight="1">
      <c r="A556" s="26"/>
      <c r="B556" s="26"/>
      <c r="C556" s="17" t="s">
        <v>151</v>
      </c>
      <c r="D556" s="37" t="s">
        <v>1000</v>
      </c>
      <c r="E556" s="36" t="s">
        <v>768</v>
      </c>
      <c r="F556" s="38"/>
      <c r="I556" s="57"/>
      <c r="J556" s="57"/>
      <c r="M556" s="15"/>
    </row>
    <row r="557" ht="63.0" customHeight="1">
      <c r="A557" s="26"/>
      <c r="B557" s="26"/>
      <c r="C557" s="17" t="s">
        <v>151</v>
      </c>
      <c r="D557" s="37" t="s">
        <v>1001</v>
      </c>
      <c r="E557" s="36" t="s">
        <v>768</v>
      </c>
      <c r="F557" s="38"/>
      <c r="I557" s="57"/>
      <c r="J557" s="57"/>
      <c r="M557" s="15"/>
    </row>
    <row r="558" ht="63.0" customHeight="1">
      <c r="A558" s="26"/>
      <c r="B558" s="26"/>
      <c r="C558" s="17" t="s">
        <v>151</v>
      </c>
      <c r="D558" s="37" t="s">
        <v>1002</v>
      </c>
      <c r="E558" s="36" t="s">
        <v>768</v>
      </c>
      <c r="F558" s="38"/>
      <c r="I558" s="57"/>
      <c r="J558" s="57"/>
      <c r="M558" s="15"/>
    </row>
    <row r="559" ht="63.0" customHeight="1">
      <c r="A559" s="26"/>
      <c r="B559" s="26"/>
      <c r="C559" s="17" t="s">
        <v>151</v>
      </c>
      <c r="D559" s="37" t="s">
        <v>1003</v>
      </c>
      <c r="E559" s="36" t="s">
        <v>632</v>
      </c>
      <c r="F559" s="38"/>
      <c r="I559" s="57"/>
      <c r="J559" s="57"/>
      <c r="M559" s="15"/>
    </row>
    <row r="560" ht="63.0" customHeight="1">
      <c r="A560" s="26"/>
      <c r="B560" s="26"/>
      <c r="C560" s="17" t="s">
        <v>151</v>
      </c>
      <c r="D560" s="37" t="s">
        <v>1004</v>
      </c>
      <c r="E560" s="36" t="s">
        <v>632</v>
      </c>
      <c r="F560" s="38"/>
      <c r="I560" s="57"/>
      <c r="J560" s="57"/>
      <c r="M560" s="15"/>
    </row>
    <row r="561" ht="63.0" customHeight="1">
      <c r="A561" s="26"/>
      <c r="B561" s="26"/>
      <c r="C561" s="17" t="s">
        <v>151</v>
      </c>
      <c r="D561" s="37" t="s">
        <v>1005</v>
      </c>
      <c r="E561" s="36" t="s">
        <v>632</v>
      </c>
      <c r="F561" s="38"/>
      <c r="I561" s="57"/>
      <c r="J561" s="57"/>
      <c r="M561" s="15"/>
    </row>
    <row r="562" ht="63.0" customHeight="1">
      <c r="A562" s="26"/>
      <c r="B562" s="26"/>
      <c r="C562" s="17" t="s">
        <v>151</v>
      </c>
      <c r="D562" s="37" t="s">
        <v>1006</v>
      </c>
      <c r="E562" s="36" t="s">
        <v>632</v>
      </c>
      <c r="F562" s="38"/>
      <c r="I562" s="57"/>
      <c r="J562" s="57"/>
      <c r="M562" s="15"/>
    </row>
    <row r="563" ht="63.0" customHeight="1">
      <c r="A563" s="26"/>
      <c r="B563" s="26"/>
      <c r="C563" s="17" t="s">
        <v>151</v>
      </c>
      <c r="D563" s="37" t="s">
        <v>1007</v>
      </c>
      <c r="E563" s="36" t="s">
        <v>632</v>
      </c>
      <c r="F563" s="38"/>
      <c r="I563" s="57"/>
      <c r="J563" s="57"/>
      <c r="M563" s="15"/>
    </row>
    <row r="564" ht="63.0" customHeight="1">
      <c r="A564" s="26"/>
      <c r="B564" s="26"/>
      <c r="C564" s="17" t="s">
        <v>151</v>
      </c>
      <c r="D564" s="37" t="s">
        <v>1008</v>
      </c>
      <c r="E564" s="36" t="s">
        <v>768</v>
      </c>
      <c r="F564" s="38"/>
      <c r="I564" s="57"/>
      <c r="J564" s="57"/>
      <c r="M564" s="15"/>
    </row>
    <row r="565" ht="63.0" customHeight="1">
      <c r="A565" s="26"/>
      <c r="B565" s="26"/>
      <c r="C565" s="17" t="s">
        <v>151</v>
      </c>
      <c r="D565" s="37" t="s">
        <v>1009</v>
      </c>
      <c r="E565" s="36" t="s">
        <v>632</v>
      </c>
      <c r="F565" s="38"/>
      <c r="I565" s="57"/>
      <c r="J565" s="57"/>
      <c r="M565" s="15"/>
    </row>
    <row r="566" ht="63.0" customHeight="1">
      <c r="A566" s="26"/>
      <c r="B566" s="26"/>
      <c r="C566" s="17" t="s">
        <v>151</v>
      </c>
      <c r="D566" s="37" t="s">
        <v>1009</v>
      </c>
      <c r="E566" s="36" t="s">
        <v>768</v>
      </c>
      <c r="F566" s="38"/>
      <c r="I566" s="57"/>
      <c r="J566" s="57"/>
      <c r="M566" s="15"/>
    </row>
    <row r="567" ht="63.0" customHeight="1">
      <c r="A567" s="26"/>
      <c r="B567" s="26"/>
      <c r="C567" s="17" t="s">
        <v>151</v>
      </c>
      <c r="D567" s="37" t="s">
        <v>1010</v>
      </c>
      <c r="E567" s="36" t="s">
        <v>632</v>
      </c>
      <c r="F567" s="38"/>
      <c r="I567" s="57"/>
      <c r="J567" s="57"/>
      <c r="M567" s="15"/>
    </row>
    <row r="568" ht="63.0" customHeight="1">
      <c r="A568" s="26"/>
      <c r="B568" s="26"/>
      <c r="C568" s="17" t="s">
        <v>151</v>
      </c>
      <c r="D568" s="37" t="s">
        <v>1011</v>
      </c>
      <c r="E568" s="36" t="s">
        <v>632</v>
      </c>
      <c r="F568" s="38"/>
      <c r="I568" s="57"/>
      <c r="J568" s="57"/>
      <c r="M568" s="15"/>
    </row>
    <row r="569" ht="63.0" customHeight="1">
      <c r="A569" s="26"/>
      <c r="B569" s="26"/>
      <c r="C569" s="17" t="s">
        <v>151</v>
      </c>
      <c r="D569" s="37" t="s">
        <v>1011</v>
      </c>
      <c r="E569" s="36" t="s">
        <v>632</v>
      </c>
      <c r="F569" s="38"/>
      <c r="I569" s="57"/>
      <c r="J569" s="57"/>
      <c r="M569" s="15"/>
    </row>
    <row r="570" ht="63.0" customHeight="1">
      <c r="A570" s="26"/>
      <c r="B570" s="26"/>
      <c r="C570" s="17" t="s">
        <v>151</v>
      </c>
      <c r="D570" s="37" t="s">
        <v>1012</v>
      </c>
      <c r="E570" s="36" t="s">
        <v>632</v>
      </c>
      <c r="F570" s="38"/>
      <c r="I570" s="57"/>
      <c r="J570" s="57"/>
      <c r="M570" s="15"/>
    </row>
    <row r="571" ht="63.0" customHeight="1">
      <c r="A571" s="26"/>
      <c r="B571" s="26"/>
      <c r="C571" s="17" t="s">
        <v>151</v>
      </c>
      <c r="D571" s="37" t="s">
        <v>1013</v>
      </c>
      <c r="E571" s="36" t="s">
        <v>632</v>
      </c>
      <c r="F571" s="38"/>
      <c r="I571" s="57"/>
      <c r="J571" s="57"/>
      <c r="M571" s="15"/>
    </row>
    <row r="572" ht="63.0" customHeight="1">
      <c r="A572" s="26"/>
      <c r="B572" s="26"/>
      <c r="C572" s="17" t="s">
        <v>151</v>
      </c>
      <c r="D572" s="37" t="s">
        <v>1014</v>
      </c>
      <c r="E572" s="36" t="s">
        <v>632</v>
      </c>
      <c r="F572" s="38"/>
      <c r="I572" s="57"/>
      <c r="J572" s="57"/>
      <c r="M572" s="15"/>
    </row>
    <row r="573" ht="63.0" customHeight="1">
      <c r="A573" s="26"/>
      <c r="B573" s="26"/>
      <c r="C573" s="17" t="s">
        <v>151</v>
      </c>
      <c r="D573" s="37" t="s">
        <v>1015</v>
      </c>
      <c r="E573" s="36" t="s">
        <v>632</v>
      </c>
      <c r="F573" s="38"/>
      <c r="I573" s="57"/>
      <c r="J573" s="57"/>
      <c r="M573" s="15"/>
    </row>
    <row r="574" ht="63.0" customHeight="1">
      <c r="A574" s="26"/>
      <c r="B574" s="26"/>
      <c r="C574" s="17" t="s">
        <v>151</v>
      </c>
      <c r="D574" s="37" t="s">
        <v>1016</v>
      </c>
      <c r="E574" s="36" t="s">
        <v>632</v>
      </c>
      <c r="F574" s="38"/>
      <c r="I574" s="57"/>
      <c r="J574" s="57"/>
      <c r="M574" s="15"/>
    </row>
    <row r="575" ht="63.0" customHeight="1">
      <c r="A575" s="26"/>
      <c r="B575" s="26"/>
      <c r="C575" s="17" t="s">
        <v>151</v>
      </c>
      <c r="D575" s="37" t="s">
        <v>1017</v>
      </c>
      <c r="E575" s="36" t="s">
        <v>632</v>
      </c>
      <c r="F575" s="38"/>
      <c r="I575" s="57"/>
      <c r="J575" s="57"/>
      <c r="M575" s="15"/>
    </row>
    <row r="576" ht="63.0" customHeight="1">
      <c r="A576" s="26"/>
      <c r="B576" s="26"/>
      <c r="C576" s="17" t="s">
        <v>151</v>
      </c>
      <c r="D576" s="37" t="s">
        <v>1018</v>
      </c>
      <c r="E576" s="36" t="s">
        <v>632</v>
      </c>
      <c r="F576" s="38"/>
      <c r="I576" s="57"/>
      <c r="J576" s="57"/>
      <c r="M576" s="15"/>
    </row>
    <row r="577" ht="63.0" customHeight="1">
      <c r="A577" s="26"/>
      <c r="B577" s="26"/>
      <c r="C577" s="17" t="s">
        <v>151</v>
      </c>
      <c r="D577" s="37" t="s">
        <v>1019</v>
      </c>
      <c r="E577" s="36" t="s">
        <v>632</v>
      </c>
      <c r="F577" s="38"/>
      <c r="I577" s="57"/>
      <c r="J577" s="57"/>
      <c r="M577" s="15"/>
    </row>
    <row r="578" ht="63.0" customHeight="1">
      <c r="A578" s="26"/>
      <c r="B578" s="26"/>
      <c r="C578" s="17" t="s">
        <v>151</v>
      </c>
      <c r="D578" s="37" t="s">
        <v>1020</v>
      </c>
      <c r="E578" s="36" t="s">
        <v>632</v>
      </c>
      <c r="F578" s="38"/>
      <c r="I578" s="57"/>
      <c r="J578" s="57"/>
      <c r="M578" s="15"/>
    </row>
    <row r="579" ht="63.0" customHeight="1">
      <c r="A579" s="26"/>
      <c r="B579" s="26"/>
      <c r="C579" s="17" t="s">
        <v>151</v>
      </c>
      <c r="D579" s="37" t="s">
        <v>1021</v>
      </c>
      <c r="E579" s="36" t="s">
        <v>632</v>
      </c>
      <c r="F579" s="38"/>
      <c r="I579" s="57"/>
      <c r="J579" s="57"/>
      <c r="M579" s="15"/>
    </row>
    <row r="580" ht="63.0" customHeight="1">
      <c r="A580" s="26"/>
      <c r="B580" s="26"/>
      <c r="C580" s="17" t="s">
        <v>151</v>
      </c>
      <c r="D580" s="37" t="s">
        <v>1022</v>
      </c>
      <c r="E580" s="36" t="s">
        <v>632</v>
      </c>
      <c r="F580" s="38"/>
      <c r="I580" s="57"/>
      <c r="J580" s="57"/>
      <c r="M580" s="15"/>
    </row>
    <row r="581" ht="63.0" customHeight="1">
      <c r="A581" s="26"/>
      <c r="B581" s="26"/>
      <c r="C581" s="17" t="s">
        <v>151</v>
      </c>
      <c r="D581" s="37" t="s">
        <v>1023</v>
      </c>
      <c r="E581" s="36" t="s">
        <v>632</v>
      </c>
      <c r="F581" s="38"/>
      <c r="I581" s="57"/>
      <c r="J581" s="57"/>
      <c r="M581" s="15"/>
    </row>
    <row r="582" ht="63.0" customHeight="1">
      <c r="A582" s="26"/>
      <c r="B582" s="26"/>
      <c r="C582" s="17" t="s">
        <v>151</v>
      </c>
      <c r="D582" s="37" t="s">
        <v>1024</v>
      </c>
      <c r="E582" s="36" t="s">
        <v>632</v>
      </c>
      <c r="F582" s="38"/>
      <c r="I582" s="57"/>
      <c r="J582" s="57"/>
      <c r="M582" s="15"/>
    </row>
    <row r="583" ht="63.0" customHeight="1">
      <c r="A583" s="26"/>
      <c r="B583" s="26"/>
      <c r="C583" s="17" t="s">
        <v>151</v>
      </c>
      <c r="D583" s="37" t="s">
        <v>1025</v>
      </c>
      <c r="E583" s="36" t="s">
        <v>632</v>
      </c>
      <c r="F583" s="38"/>
      <c r="I583" s="57"/>
      <c r="J583" s="57"/>
      <c r="M583" s="15"/>
    </row>
    <row r="584" ht="63.0" customHeight="1">
      <c r="A584" s="26"/>
      <c r="B584" s="26"/>
      <c r="C584" s="17" t="s">
        <v>151</v>
      </c>
      <c r="D584" s="37" t="s">
        <v>1026</v>
      </c>
      <c r="E584" s="36" t="s">
        <v>632</v>
      </c>
      <c r="F584" s="38"/>
      <c r="I584" s="57"/>
      <c r="J584" s="57"/>
      <c r="M584" s="15"/>
    </row>
    <row r="585" ht="63.0" customHeight="1">
      <c r="A585" s="26"/>
      <c r="B585" s="26"/>
      <c r="C585" s="17" t="s">
        <v>151</v>
      </c>
      <c r="D585" s="37" t="s">
        <v>1027</v>
      </c>
      <c r="E585" s="36" t="s">
        <v>632</v>
      </c>
      <c r="F585" s="38"/>
      <c r="I585" s="57"/>
      <c r="J585" s="57"/>
      <c r="M585" s="15"/>
    </row>
    <row r="586" ht="63.0" customHeight="1">
      <c r="A586" s="26"/>
      <c r="B586" s="26"/>
      <c r="C586" s="17" t="s">
        <v>151</v>
      </c>
      <c r="D586" s="37" t="s">
        <v>1028</v>
      </c>
      <c r="E586" s="36" t="s">
        <v>632</v>
      </c>
      <c r="F586" s="38"/>
      <c r="I586" s="57"/>
      <c r="J586" s="57"/>
      <c r="M586" s="15"/>
    </row>
    <row r="587" ht="63.0" customHeight="1">
      <c r="A587" s="26"/>
      <c r="B587" s="26"/>
      <c r="C587" s="17" t="s">
        <v>151</v>
      </c>
      <c r="D587" s="37" t="s">
        <v>1029</v>
      </c>
      <c r="E587" s="36" t="s">
        <v>632</v>
      </c>
      <c r="F587" s="38"/>
      <c r="I587" s="57"/>
      <c r="J587" s="57"/>
      <c r="M587" s="15"/>
    </row>
    <row r="588" ht="63.0" customHeight="1">
      <c r="A588" s="26"/>
      <c r="B588" s="26"/>
      <c r="C588" s="17" t="s">
        <v>151</v>
      </c>
      <c r="D588" s="37" t="s">
        <v>1030</v>
      </c>
      <c r="E588" s="36" t="s">
        <v>632</v>
      </c>
      <c r="F588" s="38"/>
      <c r="I588" s="57"/>
      <c r="J588" s="57"/>
      <c r="M588" s="15"/>
    </row>
    <row r="589" ht="63.0" customHeight="1">
      <c r="A589" s="26"/>
      <c r="B589" s="26"/>
      <c r="C589" s="17" t="s">
        <v>151</v>
      </c>
      <c r="D589" s="37" t="s">
        <v>1031</v>
      </c>
      <c r="E589" s="36" t="s">
        <v>632</v>
      </c>
      <c r="F589" s="38"/>
      <c r="I589" s="57"/>
      <c r="J589" s="57"/>
      <c r="M589" s="15"/>
    </row>
    <row r="590" ht="63.0" customHeight="1">
      <c r="A590" s="26"/>
      <c r="B590" s="26"/>
      <c r="C590" s="17" t="s">
        <v>151</v>
      </c>
      <c r="D590" s="37" t="s">
        <v>877</v>
      </c>
      <c r="E590" s="36" t="s">
        <v>630</v>
      </c>
      <c r="F590" s="38"/>
      <c r="I590" s="57"/>
      <c r="J590" s="57"/>
      <c r="M590" s="15"/>
    </row>
    <row r="591" ht="63.0" customHeight="1">
      <c r="A591" s="26"/>
      <c r="B591" s="26"/>
      <c r="C591" s="17" t="s">
        <v>151</v>
      </c>
      <c r="D591" s="37" t="s">
        <v>1032</v>
      </c>
      <c r="E591" s="36" t="s">
        <v>632</v>
      </c>
      <c r="F591" s="38"/>
      <c r="I591" s="57"/>
      <c r="J591" s="57"/>
      <c r="M591" s="15"/>
    </row>
    <row r="592" ht="63.0" customHeight="1">
      <c r="A592" s="26"/>
      <c r="B592" s="26"/>
      <c r="C592" s="17" t="s">
        <v>151</v>
      </c>
      <c r="D592" s="37" t="s">
        <v>1033</v>
      </c>
      <c r="E592" s="36" t="s">
        <v>632</v>
      </c>
      <c r="F592" s="38"/>
      <c r="I592" s="57"/>
      <c r="J592" s="57"/>
      <c r="M592" s="15"/>
    </row>
    <row r="593" ht="63.0" customHeight="1">
      <c r="A593" s="26"/>
      <c r="B593" s="26"/>
      <c r="C593" s="17" t="s">
        <v>151</v>
      </c>
      <c r="D593" s="37" t="s">
        <v>1034</v>
      </c>
      <c r="E593" s="36" t="s">
        <v>632</v>
      </c>
      <c r="F593" s="38"/>
      <c r="I593" s="57"/>
      <c r="J593" s="57"/>
      <c r="M593" s="15"/>
    </row>
    <row r="594" ht="63.0" customHeight="1">
      <c r="A594" s="26"/>
      <c r="B594" s="26"/>
      <c r="C594" s="17" t="s">
        <v>151</v>
      </c>
      <c r="D594" s="37" t="s">
        <v>1035</v>
      </c>
      <c r="E594" s="36" t="s">
        <v>632</v>
      </c>
      <c r="F594" s="38"/>
      <c r="I594" s="57"/>
      <c r="J594" s="57"/>
      <c r="M594" s="15"/>
    </row>
    <row r="595" ht="63.0" customHeight="1">
      <c r="A595" s="26"/>
      <c r="B595" s="26"/>
      <c r="C595" s="17" t="s">
        <v>151</v>
      </c>
      <c r="D595" s="37" t="s">
        <v>1036</v>
      </c>
      <c r="E595" s="36" t="s">
        <v>632</v>
      </c>
      <c r="F595" s="38"/>
      <c r="I595" s="57"/>
      <c r="J595" s="57"/>
      <c r="M595" s="15"/>
    </row>
    <row r="596" ht="63.0" customHeight="1">
      <c r="A596" s="26"/>
      <c r="B596" s="26"/>
      <c r="C596" s="17" t="s">
        <v>151</v>
      </c>
      <c r="D596" s="37" t="s">
        <v>1037</v>
      </c>
      <c r="E596" s="36" t="s">
        <v>632</v>
      </c>
      <c r="F596" s="38"/>
      <c r="I596" s="57"/>
      <c r="J596" s="57"/>
      <c r="M596" s="15"/>
    </row>
    <row r="597" ht="63.0" customHeight="1">
      <c r="A597" s="26"/>
      <c r="B597" s="26"/>
      <c r="C597" s="17" t="s">
        <v>151</v>
      </c>
      <c r="D597" s="37" t="s">
        <v>1038</v>
      </c>
      <c r="E597" s="36" t="s">
        <v>632</v>
      </c>
      <c r="F597" s="38"/>
      <c r="I597" s="57"/>
      <c r="J597" s="57"/>
      <c r="M597" s="15"/>
    </row>
    <row r="598" ht="63.0" customHeight="1">
      <c r="A598" s="26"/>
      <c r="B598" s="26"/>
      <c r="C598" s="17" t="s">
        <v>151</v>
      </c>
      <c r="D598" s="37" t="s">
        <v>1039</v>
      </c>
      <c r="E598" s="36" t="s">
        <v>632</v>
      </c>
      <c r="F598" s="38"/>
      <c r="I598" s="57"/>
      <c r="J598" s="57"/>
      <c r="M598" s="15"/>
    </row>
    <row r="599" ht="63.0" customHeight="1">
      <c r="A599" s="26"/>
      <c r="B599" s="26"/>
      <c r="C599" s="17" t="s">
        <v>151</v>
      </c>
      <c r="D599" s="37" t="s">
        <v>1040</v>
      </c>
      <c r="E599" s="36" t="s">
        <v>632</v>
      </c>
      <c r="F599" s="38"/>
      <c r="I599" s="57"/>
      <c r="J599" s="57"/>
      <c r="M599" s="15"/>
    </row>
    <row r="600" ht="63.0" customHeight="1">
      <c r="A600" s="26"/>
      <c r="B600" s="26"/>
      <c r="C600" s="17" t="s">
        <v>151</v>
      </c>
      <c r="D600" s="37" t="s">
        <v>1041</v>
      </c>
      <c r="E600" s="36" t="s">
        <v>632</v>
      </c>
      <c r="F600" s="38"/>
      <c r="I600" s="57"/>
      <c r="J600" s="57"/>
      <c r="M600" s="15"/>
    </row>
    <row r="601" ht="63.0" customHeight="1">
      <c r="A601" s="26"/>
      <c r="B601" s="26"/>
      <c r="C601" s="17" t="s">
        <v>151</v>
      </c>
      <c r="D601" s="37" t="s">
        <v>1042</v>
      </c>
      <c r="E601" s="36" t="s">
        <v>632</v>
      </c>
      <c r="F601" s="38"/>
      <c r="I601" s="57"/>
      <c r="J601" s="57"/>
      <c r="M601" s="15"/>
    </row>
    <row r="602" ht="63.0" customHeight="1">
      <c r="A602" s="26"/>
      <c r="B602" s="26"/>
      <c r="C602" s="17" t="s">
        <v>151</v>
      </c>
      <c r="D602" s="37" t="s">
        <v>1043</v>
      </c>
      <c r="E602" s="36" t="s">
        <v>632</v>
      </c>
      <c r="F602" s="38"/>
      <c r="I602" s="57"/>
      <c r="J602" s="57"/>
      <c r="M602" s="15"/>
    </row>
    <row r="603" ht="63.0" customHeight="1">
      <c r="A603" s="26"/>
      <c r="B603" s="26"/>
      <c r="C603" s="17" t="s">
        <v>151</v>
      </c>
      <c r="D603" s="37" t="s">
        <v>1043</v>
      </c>
      <c r="E603" s="36" t="s">
        <v>632</v>
      </c>
      <c r="F603" s="38"/>
      <c r="I603" s="57"/>
      <c r="J603" s="57"/>
      <c r="M603" s="15"/>
    </row>
    <row r="604" ht="63.0" customHeight="1">
      <c r="A604" s="26"/>
      <c r="B604" s="26"/>
      <c r="C604" s="17" t="s">
        <v>151</v>
      </c>
      <c r="D604" s="37" t="s">
        <v>1044</v>
      </c>
      <c r="E604" s="36" t="s">
        <v>632</v>
      </c>
      <c r="F604" s="38"/>
      <c r="I604" s="57"/>
      <c r="J604" s="57"/>
      <c r="M604" s="15"/>
    </row>
    <row r="605" ht="63.0" customHeight="1">
      <c r="A605" s="26"/>
      <c r="B605" s="26"/>
      <c r="C605" s="17" t="s">
        <v>151</v>
      </c>
      <c r="D605" s="37" t="s">
        <v>1045</v>
      </c>
      <c r="E605" s="36" t="s">
        <v>632</v>
      </c>
      <c r="F605" s="38"/>
      <c r="I605" s="57"/>
      <c r="J605" s="57"/>
      <c r="M605" s="15"/>
    </row>
    <row r="606" ht="63.0" customHeight="1">
      <c r="A606" s="26"/>
      <c r="B606" s="26"/>
      <c r="C606" s="17" t="s">
        <v>151</v>
      </c>
      <c r="D606" s="37" t="s">
        <v>1046</v>
      </c>
      <c r="E606" s="36" t="s">
        <v>632</v>
      </c>
      <c r="F606" s="38"/>
      <c r="I606" s="57"/>
      <c r="J606" s="57"/>
      <c r="M606" s="15"/>
    </row>
    <row r="607" ht="63.0" customHeight="1">
      <c r="A607" s="26"/>
      <c r="B607" s="26"/>
      <c r="C607" s="17" t="s">
        <v>151</v>
      </c>
      <c r="D607" s="37" t="s">
        <v>1047</v>
      </c>
      <c r="E607" s="36" t="s">
        <v>632</v>
      </c>
      <c r="F607" s="38"/>
      <c r="I607" s="57"/>
      <c r="J607" s="57"/>
      <c r="M607" s="15"/>
    </row>
    <row r="608" ht="63.0" customHeight="1">
      <c r="A608" s="26"/>
      <c r="B608" s="26"/>
      <c r="C608" s="17" t="s">
        <v>151</v>
      </c>
      <c r="D608" s="37" t="s">
        <v>1048</v>
      </c>
      <c r="E608" s="36" t="s">
        <v>632</v>
      </c>
      <c r="F608" s="38"/>
      <c r="I608" s="57"/>
      <c r="J608" s="57"/>
      <c r="M608" s="15"/>
    </row>
    <row r="609" ht="63.0" customHeight="1">
      <c r="A609" s="26"/>
      <c r="B609" s="26"/>
      <c r="C609" s="17" t="s">
        <v>151</v>
      </c>
      <c r="D609" s="37" t="s">
        <v>1049</v>
      </c>
      <c r="E609" s="36" t="s">
        <v>478</v>
      </c>
      <c r="F609" s="38"/>
      <c r="I609" s="57"/>
      <c r="J609" s="57"/>
      <c r="M609" s="15"/>
    </row>
    <row r="610" ht="63.0" customHeight="1">
      <c r="A610" s="26"/>
      <c r="B610" s="26"/>
      <c r="C610" s="17" t="s">
        <v>151</v>
      </c>
      <c r="D610" s="37" t="s">
        <v>1050</v>
      </c>
      <c r="E610" s="36" t="s">
        <v>478</v>
      </c>
      <c r="F610" s="38"/>
      <c r="I610" s="57"/>
      <c r="J610" s="57"/>
      <c r="M610" s="15"/>
    </row>
    <row r="611" ht="63.0" customHeight="1">
      <c r="A611" s="26"/>
      <c r="B611" s="26"/>
      <c r="C611" s="17" t="s">
        <v>151</v>
      </c>
      <c r="D611" s="37" t="s">
        <v>1051</v>
      </c>
      <c r="E611" s="36" t="s">
        <v>632</v>
      </c>
      <c r="F611" s="38"/>
      <c r="I611" s="57"/>
      <c r="J611" s="57"/>
      <c r="M611" s="15"/>
    </row>
    <row r="612" ht="63.0" customHeight="1">
      <c r="A612" s="26"/>
      <c r="B612" s="26"/>
      <c r="C612" s="17" t="s">
        <v>151</v>
      </c>
      <c r="D612" s="37" t="s">
        <v>1052</v>
      </c>
      <c r="E612" s="36" t="s">
        <v>632</v>
      </c>
      <c r="F612" s="38"/>
      <c r="I612" s="57"/>
      <c r="J612" s="57"/>
      <c r="M612" s="15"/>
    </row>
    <row r="613" ht="63.0" customHeight="1">
      <c r="A613" s="26"/>
      <c r="B613" s="26"/>
      <c r="C613" s="17" t="s">
        <v>151</v>
      </c>
      <c r="D613" s="37" t="s">
        <v>1053</v>
      </c>
      <c r="E613" s="36" t="s">
        <v>632</v>
      </c>
      <c r="F613" s="38"/>
      <c r="I613" s="57"/>
      <c r="J613" s="57"/>
      <c r="M613" s="15"/>
    </row>
    <row r="614" ht="63.0" customHeight="1">
      <c r="A614" s="26"/>
      <c r="B614" s="26"/>
      <c r="C614" s="17" t="s">
        <v>151</v>
      </c>
      <c r="D614" s="37" t="s">
        <v>1054</v>
      </c>
      <c r="E614" s="36" t="s">
        <v>632</v>
      </c>
      <c r="F614" s="38"/>
      <c r="I614" s="57"/>
      <c r="J614" s="57"/>
      <c r="M614" s="15"/>
    </row>
    <row r="615" ht="63.0" customHeight="1">
      <c r="A615" s="26"/>
      <c r="B615" s="26"/>
      <c r="C615" s="17" t="s">
        <v>151</v>
      </c>
      <c r="D615" s="37" t="s">
        <v>1055</v>
      </c>
      <c r="E615" s="36" t="s">
        <v>632</v>
      </c>
      <c r="F615" s="38"/>
      <c r="I615" s="57"/>
      <c r="J615" s="57"/>
      <c r="M615" s="15"/>
    </row>
    <row r="616" ht="63.0" customHeight="1">
      <c r="A616" s="26"/>
      <c r="B616" s="26"/>
      <c r="C616" s="17" t="s">
        <v>151</v>
      </c>
      <c r="D616" s="37" t="s">
        <v>1056</v>
      </c>
      <c r="E616" s="36" t="s">
        <v>632</v>
      </c>
      <c r="F616" s="38"/>
      <c r="I616" s="57"/>
      <c r="J616" s="57"/>
      <c r="M616" s="15"/>
    </row>
    <row r="617" ht="63.0" customHeight="1">
      <c r="A617" s="26"/>
      <c r="B617" s="26"/>
      <c r="C617" s="17" t="s">
        <v>151</v>
      </c>
      <c r="D617" s="37" t="s">
        <v>1057</v>
      </c>
      <c r="E617" s="36" t="s">
        <v>632</v>
      </c>
      <c r="F617" s="38"/>
      <c r="I617" s="57"/>
      <c r="J617" s="57"/>
      <c r="M617" s="15"/>
    </row>
    <row r="618" ht="63.0" customHeight="1">
      <c r="A618" s="26"/>
      <c r="B618" s="26"/>
      <c r="C618" s="17" t="s">
        <v>151</v>
      </c>
      <c r="D618" s="37" t="s">
        <v>1058</v>
      </c>
      <c r="E618" s="36" t="s">
        <v>632</v>
      </c>
      <c r="F618" s="38"/>
      <c r="I618" s="57"/>
      <c r="J618" s="57"/>
      <c r="M618" s="15"/>
    </row>
    <row r="619" ht="63.0" customHeight="1">
      <c r="A619" s="26"/>
      <c r="B619" s="26"/>
      <c r="C619" s="17" t="s">
        <v>151</v>
      </c>
      <c r="D619" s="37" t="s">
        <v>1058</v>
      </c>
      <c r="E619" s="36" t="s">
        <v>632</v>
      </c>
      <c r="F619" s="38"/>
      <c r="I619" s="57"/>
      <c r="J619" s="57"/>
      <c r="M619" s="15"/>
    </row>
    <row r="620" ht="63.0" customHeight="1">
      <c r="A620" s="26"/>
      <c r="B620" s="26"/>
      <c r="C620" s="17" t="s">
        <v>151</v>
      </c>
      <c r="D620" s="37" t="s">
        <v>1058</v>
      </c>
      <c r="E620" s="36" t="s">
        <v>632</v>
      </c>
      <c r="F620" s="38"/>
      <c r="I620" s="57"/>
      <c r="J620" s="57"/>
      <c r="M620" s="15"/>
    </row>
    <row r="621" ht="63.0" customHeight="1">
      <c r="A621" s="26"/>
      <c r="B621" s="26"/>
      <c r="C621" s="17" t="s">
        <v>151</v>
      </c>
      <c r="D621" s="37" t="s">
        <v>1059</v>
      </c>
      <c r="E621" s="36" t="s">
        <v>632</v>
      </c>
      <c r="F621" s="38"/>
      <c r="I621" s="57"/>
      <c r="J621" s="57"/>
      <c r="M621" s="15"/>
    </row>
    <row r="622" ht="63.0" customHeight="1">
      <c r="A622" s="26"/>
      <c r="B622" s="26"/>
      <c r="C622" s="17" t="s">
        <v>151</v>
      </c>
      <c r="D622" s="37" t="s">
        <v>1060</v>
      </c>
      <c r="E622" s="36" t="s">
        <v>632</v>
      </c>
      <c r="F622" s="38"/>
      <c r="I622" s="57"/>
      <c r="J622" s="57"/>
      <c r="M622" s="15"/>
    </row>
    <row r="623" ht="63.0" customHeight="1">
      <c r="A623" s="26"/>
      <c r="B623" s="26"/>
      <c r="C623" s="17" t="s">
        <v>151</v>
      </c>
      <c r="D623" s="37" t="s">
        <v>1061</v>
      </c>
      <c r="E623" s="36" t="s">
        <v>632</v>
      </c>
      <c r="F623" s="38"/>
      <c r="I623" s="57"/>
      <c r="J623" s="57"/>
      <c r="M623" s="15"/>
    </row>
    <row r="624" ht="63.0" customHeight="1">
      <c r="A624" s="26"/>
      <c r="B624" s="26"/>
      <c r="C624" s="17" t="s">
        <v>151</v>
      </c>
      <c r="D624" s="37" t="s">
        <v>1061</v>
      </c>
      <c r="E624" s="36" t="s">
        <v>632</v>
      </c>
      <c r="F624" s="38"/>
      <c r="I624" s="57"/>
      <c r="J624" s="57"/>
      <c r="M624" s="15"/>
    </row>
    <row r="625" ht="63.0" customHeight="1">
      <c r="A625" s="26"/>
      <c r="B625" s="26"/>
      <c r="C625" s="17" t="s">
        <v>151</v>
      </c>
      <c r="D625" s="37" t="s">
        <v>1062</v>
      </c>
      <c r="E625" s="36" t="s">
        <v>632</v>
      </c>
      <c r="F625" s="38"/>
      <c r="I625" s="57"/>
      <c r="J625" s="57"/>
      <c r="M625" s="15"/>
    </row>
    <row r="626" ht="63.0" customHeight="1">
      <c r="A626" s="26"/>
      <c r="B626" s="26"/>
      <c r="C626" s="17" t="s">
        <v>151</v>
      </c>
      <c r="D626" s="37" t="s">
        <v>1062</v>
      </c>
      <c r="E626" s="36" t="s">
        <v>632</v>
      </c>
      <c r="F626" s="38"/>
      <c r="I626" s="57"/>
      <c r="J626" s="57"/>
      <c r="M626" s="15"/>
    </row>
    <row r="627" ht="63.0" customHeight="1">
      <c r="A627" s="26"/>
      <c r="B627" s="26"/>
      <c r="C627" s="17" t="s">
        <v>151</v>
      </c>
      <c r="D627" s="37" t="s">
        <v>1063</v>
      </c>
      <c r="E627" s="36" t="s">
        <v>632</v>
      </c>
      <c r="F627" s="38"/>
      <c r="I627" s="57"/>
      <c r="J627" s="57"/>
      <c r="M627" s="15"/>
    </row>
    <row r="628" ht="63.0" customHeight="1">
      <c r="A628" s="26"/>
      <c r="B628" s="26"/>
      <c r="C628" s="17" t="s">
        <v>151</v>
      </c>
      <c r="D628" s="37" t="s">
        <v>1064</v>
      </c>
      <c r="E628" s="36" t="s">
        <v>632</v>
      </c>
      <c r="F628" s="38"/>
      <c r="I628" s="57"/>
      <c r="J628" s="57"/>
      <c r="M628" s="15"/>
    </row>
    <row r="629" ht="63.0" customHeight="1">
      <c r="A629" s="26"/>
      <c r="B629" s="26"/>
      <c r="C629" s="17" t="s">
        <v>151</v>
      </c>
      <c r="D629" s="37" t="s">
        <v>1065</v>
      </c>
      <c r="E629" s="36" t="s">
        <v>632</v>
      </c>
      <c r="F629" s="38"/>
      <c r="I629" s="57"/>
      <c r="J629" s="57"/>
      <c r="M629" s="15"/>
    </row>
    <row r="630" ht="63.0" customHeight="1">
      <c r="A630" s="26"/>
      <c r="B630" s="26"/>
      <c r="C630" s="17" t="s">
        <v>151</v>
      </c>
      <c r="D630" s="37" t="s">
        <v>1066</v>
      </c>
      <c r="E630" s="36" t="s">
        <v>632</v>
      </c>
      <c r="F630" s="38"/>
      <c r="I630" s="57"/>
      <c r="J630" s="57"/>
      <c r="M630" s="15"/>
    </row>
    <row r="631" ht="63.0" customHeight="1">
      <c r="A631" s="26"/>
      <c r="B631" s="26"/>
      <c r="C631" s="17" t="s">
        <v>151</v>
      </c>
      <c r="D631" s="37" t="s">
        <v>1067</v>
      </c>
      <c r="E631" s="36" t="s">
        <v>478</v>
      </c>
      <c r="F631" s="38"/>
      <c r="I631" s="57"/>
      <c r="J631" s="57"/>
      <c r="M631" s="15"/>
    </row>
    <row r="632" ht="63.0" customHeight="1">
      <c r="A632" s="26"/>
      <c r="B632" s="26"/>
      <c r="C632" s="17" t="s">
        <v>151</v>
      </c>
      <c r="D632" s="37" t="s">
        <v>1068</v>
      </c>
      <c r="E632" s="36" t="s">
        <v>478</v>
      </c>
      <c r="F632" s="38"/>
      <c r="I632" s="57"/>
      <c r="J632" s="57"/>
      <c r="M632" s="15"/>
    </row>
    <row r="633" ht="63.0" customHeight="1">
      <c r="A633" s="26"/>
      <c r="B633" s="26"/>
      <c r="C633" s="17" t="s">
        <v>151</v>
      </c>
      <c r="D633" s="37" t="s">
        <v>629</v>
      </c>
      <c r="E633" s="36" t="s">
        <v>630</v>
      </c>
      <c r="F633" s="38"/>
      <c r="I633" s="57"/>
      <c r="J633" s="57"/>
      <c r="M633" s="15"/>
    </row>
    <row r="634" ht="63.0" customHeight="1">
      <c r="A634" s="26"/>
      <c r="B634" s="26"/>
      <c r="C634" s="17" t="s">
        <v>151</v>
      </c>
      <c r="D634" s="37" t="s">
        <v>1069</v>
      </c>
      <c r="E634" s="36" t="s">
        <v>632</v>
      </c>
      <c r="F634" s="38"/>
      <c r="I634" s="57"/>
      <c r="J634" s="57"/>
      <c r="M634" s="15"/>
    </row>
    <row r="635" ht="63.0" customHeight="1">
      <c r="A635" s="26"/>
      <c r="B635" s="26"/>
      <c r="C635" s="17" t="s">
        <v>151</v>
      </c>
      <c r="D635" s="37" t="s">
        <v>1070</v>
      </c>
      <c r="E635" s="36" t="s">
        <v>768</v>
      </c>
      <c r="F635" s="38"/>
      <c r="I635" s="57"/>
      <c r="J635" s="57"/>
      <c r="M635" s="15"/>
    </row>
    <row r="636" ht="63.0" customHeight="1">
      <c r="A636" s="26"/>
      <c r="B636" s="26"/>
      <c r="C636" s="17" t="s">
        <v>151</v>
      </c>
      <c r="D636" s="37" t="s">
        <v>877</v>
      </c>
      <c r="E636" s="36" t="s">
        <v>630</v>
      </c>
      <c r="F636" s="38"/>
      <c r="I636" s="57"/>
      <c r="J636" s="57"/>
      <c r="M636" s="15"/>
    </row>
    <row r="637" ht="63.0" customHeight="1">
      <c r="A637" s="26"/>
      <c r="B637" s="26"/>
      <c r="C637" s="17" t="s">
        <v>151</v>
      </c>
      <c r="D637" s="37" t="s">
        <v>1071</v>
      </c>
      <c r="E637" s="36" t="s">
        <v>632</v>
      </c>
      <c r="F637" s="38"/>
      <c r="I637" s="57"/>
      <c r="J637" s="57"/>
      <c r="M637" s="15"/>
    </row>
    <row r="638" ht="63.0" customHeight="1">
      <c r="A638" s="26"/>
      <c r="B638" s="26"/>
      <c r="C638" s="17" t="s">
        <v>151</v>
      </c>
      <c r="D638" s="37" t="s">
        <v>1072</v>
      </c>
      <c r="E638" s="36" t="s">
        <v>630</v>
      </c>
      <c r="F638" s="38"/>
      <c r="I638" s="57"/>
      <c r="J638" s="57"/>
      <c r="M638" s="15"/>
    </row>
    <row r="639" ht="63.0" customHeight="1">
      <c r="A639" s="26"/>
      <c r="B639" s="26"/>
      <c r="C639" s="17" t="s">
        <v>151</v>
      </c>
      <c r="D639" s="37" t="s">
        <v>1073</v>
      </c>
      <c r="E639" s="36" t="s">
        <v>632</v>
      </c>
      <c r="F639" s="38"/>
      <c r="I639" s="57"/>
      <c r="J639" s="57"/>
      <c r="M639" s="15"/>
    </row>
    <row r="640" ht="63.0" customHeight="1">
      <c r="A640" s="26"/>
      <c r="B640" s="26"/>
      <c r="C640" s="17" t="s">
        <v>151</v>
      </c>
      <c r="D640" s="37" t="s">
        <v>1074</v>
      </c>
      <c r="E640" s="36" t="s">
        <v>632</v>
      </c>
      <c r="F640" s="38"/>
      <c r="I640" s="57"/>
      <c r="J640" s="57"/>
      <c r="M640" s="15"/>
    </row>
    <row r="641" ht="63.0" customHeight="1">
      <c r="A641" s="26"/>
      <c r="B641" s="26"/>
      <c r="C641" s="17" t="s">
        <v>151</v>
      </c>
      <c r="D641" s="37" t="s">
        <v>1075</v>
      </c>
      <c r="E641" s="36" t="s">
        <v>632</v>
      </c>
      <c r="F641" s="38"/>
      <c r="I641" s="57"/>
      <c r="J641" s="57"/>
      <c r="M641" s="15"/>
    </row>
    <row r="642" ht="63.0" customHeight="1">
      <c r="A642" s="26"/>
      <c r="B642" s="26"/>
      <c r="C642" s="17" t="s">
        <v>151</v>
      </c>
      <c r="D642" s="37" t="s">
        <v>1076</v>
      </c>
      <c r="E642" s="36" t="s">
        <v>632</v>
      </c>
      <c r="F642" s="38"/>
      <c r="I642" s="57"/>
      <c r="J642" s="57"/>
      <c r="M642" s="15"/>
    </row>
    <row r="643" ht="63.0" customHeight="1">
      <c r="A643" s="26"/>
      <c r="B643" s="26"/>
      <c r="C643" s="17" t="s">
        <v>151</v>
      </c>
      <c r="D643" s="37" t="s">
        <v>1077</v>
      </c>
      <c r="E643" s="36" t="s">
        <v>632</v>
      </c>
      <c r="F643" s="38"/>
      <c r="I643" s="57"/>
      <c r="J643" s="57"/>
      <c r="M643" s="15"/>
    </row>
    <row r="644" ht="63.0" customHeight="1">
      <c r="A644" s="26"/>
      <c r="B644" s="26"/>
      <c r="C644" s="17" t="s">
        <v>151</v>
      </c>
      <c r="D644" s="37" t="s">
        <v>1078</v>
      </c>
      <c r="E644" s="36" t="s">
        <v>632</v>
      </c>
      <c r="F644" s="38"/>
      <c r="I644" s="57"/>
      <c r="J644" s="57"/>
      <c r="M644" s="15"/>
    </row>
    <row r="645" ht="63.0" customHeight="1">
      <c r="A645" s="26"/>
      <c r="B645" s="26"/>
      <c r="C645" s="17" t="s">
        <v>151</v>
      </c>
      <c r="D645" s="37" t="s">
        <v>1079</v>
      </c>
      <c r="E645" s="36" t="s">
        <v>632</v>
      </c>
      <c r="F645" s="38"/>
      <c r="I645" s="57"/>
      <c r="J645" s="57"/>
      <c r="M645" s="15"/>
    </row>
    <row r="646" ht="63.0" customHeight="1">
      <c r="A646" s="26"/>
      <c r="B646" s="26"/>
      <c r="C646" s="17" t="s">
        <v>151</v>
      </c>
      <c r="D646" s="37" t="s">
        <v>1080</v>
      </c>
      <c r="E646" s="36" t="s">
        <v>632</v>
      </c>
      <c r="F646" s="38"/>
      <c r="I646" s="57"/>
      <c r="J646" s="57"/>
      <c r="M646" s="15"/>
    </row>
    <row r="647" ht="63.0" customHeight="1">
      <c r="A647" s="26"/>
      <c r="B647" s="26"/>
      <c r="C647" s="17" t="s">
        <v>151</v>
      </c>
      <c r="D647" s="37" t="s">
        <v>1081</v>
      </c>
      <c r="E647" s="36" t="s">
        <v>632</v>
      </c>
      <c r="F647" s="38"/>
      <c r="I647" s="57"/>
      <c r="J647" s="57"/>
      <c r="M647" s="15"/>
    </row>
    <row r="648" ht="63.0" customHeight="1">
      <c r="A648" s="26"/>
      <c r="B648" s="26"/>
      <c r="C648" s="17" t="s">
        <v>151</v>
      </c>
      <c r="D648" s="37" t="s">
        <v>931</v>
      </c>
      <c r="E648" s="36" t="s">
        <v>632</v>
      </c>
      <c r="F648" s="38"/>
      <c r="I648" s="57"/>
      <c r="J648" s="57"/>
      <c r="M648" s="15"/>
    </row>
    <row r="649" ht="63.0" customHeight="1">
      <c r="A649" s="26"/>
      <c r="B649" s="26"/>
      <c r="C649" s="17" t="s">
        <v>151</v>
      </c>
      <c r="D649" s="37" t="s">
        <v>1082</v>
      </c>
      <c r="E649" s="36" t="s">
        <v>632</v>
      </c>
      <c r="F649" s="38"/>
      <c r="I649" s="57"/>
      <c r="J649" s="57"/>
      <c r="M649" s="15"/>
    </row>
    <row r="650" ht="63.0" customHeight="1">
      <c r="A650" s="26"/>
      <c r="B650" s="26"/>
      <c r="C650" s="17" t="s">
        <v>151</v>
      </c>
      <c r="D650" s="37" t="s">
        <v>1083</v>
      </c>
      <c r="E650" s="36" t="s">
        <v>632</v>
      </c>
      <c r="F650" s="38"/>
      <c r="I650" s="57"/>
      <c r="J650" s="57"/>
      <c r="M650" s="15"/>
    </row>
    <row r="651" ht="63.0" customHeight="1">
      <c r="A651" s="26"/>
      <c r="B651" s="26"/>
      <c r="C651" s="17" t="s">
        <v>151</v>
      </c>
      <c r="D651" s="37" t="s">
        <v>1084</v>
      </c>
      <c r="E651" s="36" t="s">
        <v>632</v>
      </c>
      <c r="F651" s="38"/>
      <c r="I651" s="57"/>
      <c r="J651" s="57"/>
      <c r="M651" s="15"/>
    </row>
    <row r="652" ht="63.0" customHeight="1">
      <c r="A652" s="26"/>
      <c r="B652" s="26"/>
      <c r="C652" s="17" t="s">
        <v>151</v>
      </c>
      <c r="D652" s="37" t="s">
        <v>1085</v>
      </c>
      <c r="E652" s="36" t="s">
        <v>632</v>
      </c>
      <c r="F652" s="38"/>
      <c r="I652" s="57"/>
      <c r="J652" s="57"/>
      <c r="M652" s="15"/>
    </row>
    <row r="653" ht="63.0" customHeight="1">
      <c r="A653" s="26"/>
      <c r="B653" s="26"/>
      <c r="C653" s="17" t="s">
        <v>151</v>
      </c>
      <c r="D653" s="37" t="s">
        <v>1086</v>
      </c>
      <c r="E653" s="36" t="s">
        <v>632</v>
      </c>
      <c r="F653" s="38"/>
      <c r="I653" s="57"/>
      <c r="J653" s="57"/>
      <c r="M653" s="15"/>
    </row>
    <row r="654" ht="63.0" customHeight="1">
      <c r="A654" s="26"/>
      <c r="B654" s="26"/>
      <c r="C654" s="17" t="s">
        <v>151</v>
      </c>
      <c r="D654" s="37" t="s">
        <v>629</v>
      </c>
      <c r="E654" s="36" t="s">
        <v>630</v>
      </c>
      <c r="F654" s="38"/>
      <c r="I654" s="57"/>
      <c r="J654" s="57"/>
      <c r="M654" s="15"/>
    </row>
    <row r="655" ht="63.0" customHeight="1">
      <c r="A655" s="26"/>
      <c r="B655" s="26"/>
      <c r="C655" s="17" t="s">
        <v>151</v>
      </c>
      <c r="D655" s="37" t="s">
        <v>1000</v>
      </c>
      <c r="E655" s="36" t="s">
        <v>768</v>
      </c>
      <c r="F655" s="38"/>
      <c r="I655" s="57"/>
      <c r="J655" s="57"/>
      <c r="M655" s="15"/>
    </row>
    <row r="656" ht="63.0" customHeight="1">
      <c r="A656" s="26"/>
      <c r="B656" s="26"/>
      <c r="C656" s="17" t="s">
        <v>151</v>
      </c>
      <c r="D656" s="37" t="s">
        <v>1087</v>
      </c>
      <c r="E656" s="36" t="s">
        <v>768</v>
      </c>
      <c r="F656" s="38"/>
      <c r="I656" s="57"/>
      <c r="J656" s="57"/>
      <c r="M656" s="15"/>
    </row>
    <row r="657" ht="63.0" customHeight="1">
      <c r="A657" s="26"/>
      <c r="B657" s="26"/>
      <c r="C657" s="17" t="s">
        <v>151</v>
      </c>
      <c r="D657" s="37" t="s">
        <v>1088</v>
      </c>
      <c r="E657" s="36" t="s">
        <v>768</v>
      </c>
      <c r="F657" s="38"/>
      <c r="I657" s="57"/>
      <c r="J657" s="57"/>
      <c r="M657" s="15"/>
    </row>
    <row r="658" ht="63.0" customHeight="1">
      <c r="A658" s="26"/>
      <c r="B658" s="26"/>
      <c r="C658" s="17" t="s">
        <v>151</v>
      </c>
      <c r="D658" s="37" t="s">
        <v>1089</v>
      </c>
      <c r="E658" s="36" t="s">
        <v>768</v>
      </c>
      <c r="F658" s="38"/>
      <c r="I658" s="57"/>
      <c r="J658" s="57"/>
      <c r="M658" s="15"/>
    </row>
    <row r="659" ht="63.0" customHeight="1">
      <c r="A659" s="26"/>
      <c r="B659" s="26"/>
      <c r="C659" s="17" t="s">
        <v>151</v>
      </c>
      <c r="D659" s="37" t="s">
        <v>1090</v>
      </c>
      <c r="E659" s="36" t="s">
        <v>632</v>
      </c>
      <c r="F659" s="38"/>
      <c r="I659" s="57"/>
      <c r="J659" s="57"/>
      <c r="M659" s="15"/>
    </row>
    <row r="660" ht="63.0" customHeight="1">
      <c r="A660" s="26"/>
      <c r="B660" s="26"/>
      <c r="C660" s="17" t="s">
        <v>151</v>
      </c>
      <c r="D660" s="37" t="s">
        <v>1091</v>
      </c>
      <c r="E660" s="36" t="s">
        <v>632</v>
      </c>
      <c r="F660" s="38"/>
      <c r="I660" s="57"/>
      <c r="J660" s="57"/>
      <c r="M660" s="15"/>
    </row>
    <row r="661" ht="63.0" customHeight="1">
      <c r="A661" s="26"/>
      <c r="B661" s="26"/>
      <c r="C661" s="17" t="s">
        <v>151</v>
      </c>
      <c r="D661" s="37" t="s">
        <v>1092</v>
      </c>
      <c r="E661" s="36" t="s">
        <v>632</v>
      </c>
      <c r="F661" s="38"/>
      <c r="I661" s="57"/>
      <c r="J661" s="57"/>
      <c r="M661" s="15"/>
    </row>
    <row r="662" ht="63.0" customHeight="1">
      <c r="A662" s="26"/>
      <c r="B662" s="26"/>
      <c r="C662" s="17" t="s">
        <v>151</v>
      </c>
      <c r="D662" s="37" t="s">
        <v>1093</v>
      </c>
      <c r="E662" s="36" t="s">
        <v>632</v>
      </c>
      <c r="F662" s="38"/>
      <c r="I662" s="57"/>
      <c r="J662" s="57"/>
      <c r="M662" s="15"/>
    </row>
    <row r="663" ht="63.0" customHeight="1">
      <c r="A663" s="26"/>
      <c r="B663" s="26"/>
      <c r="C663" s="17" t="s">
        <v>151</v>
      </c>
      <c r="D663" s="37" t="s">
        <v>1094</v>
      </c>
      <c r="E663" s="36" t="s">
        <v>768</v>
      </c>
      <c r="F663" s="38"/>
      <c r="I663" s="57"/>
      <c r="J663" s="57"/>
      <c r="M663" s="15"/>
    </row>
    <row r="664" ht="63.0" customHeight="1">
      <c r="A664" s="26"/>
      <c r="B664" s="26"/>
      <c r="C664" s="17" t="s">
        <v>151</v>
      </c>
      <c r="D664" s="37" t="s">
        <v>1095</v>
      </c>
      <c r="E664" s="36" t="s">
        <v>632</v>
      </c>
      <c r="F664" s="38"/>
      <c r="I664" s="57"/>
      <c r="J664" s="57"/>
      <c r="M664" s="15"/>
    </row>
    <row r="665" ht="63.0" customHeight="1">
      <c r="A665" s="26"/>
      <c r="B665" s="26"/>
      <c r="C665" s="17" t="s">
        <v>151</v>
      </c>
      <c r="D665" s="37" t="s">
        <v>877</v>
      </c>
      <c r="E665" s="36" t="s">
        <v>630</v>
      </c>
      <c r="F665" s="38"/>
      <c r="I665" s="57"/>
      <c r="J665" s="57"/>
      <c r="M665" s="15"/>
    </row>
    <row r="666" ht="63.0" customHeight="1">
      <c r="A666" s="26"/>
      <c r="B666" s="26"/>
      <c r="C666" s="17" t="s">
        <v>151</v>
      </c>
      <c r="D666" s="37" t="s">
        <v>1096</v>
      </c>
      <c r="E666" s="36" t="s">
        <v>632</v>
      </c>
      <c r="F666" s="38"/>
      <c r="I666" s="57"/>
      <c r="J666" s="57"/>
      <c r="M666" s="15"/>
    </row>
    <row r="667" ht="63.0" customHeight="1">
      <c r="A667" s="26"/>
      <c r="B667" s="26"/>
      <c r="C667" s="17" t="s">
        <v>151</v>
      </c>
      <c r="D667" s="37" t="s">
        <v>1097</v>
      </c>
      <c r="E667" s="36" t="s">
        <v>632</v>
      </c>
      <c r="F667" s="38"/>
      <c r="I667" s="57"/>
      <c r="J667" s="57"/>
      <c r="M667" s="15"/>
    </row>
    <row r="668" ht="63.0" customHeight="1">
      <c r="A668" s="26"/>
      <c r="B668" s="26"/>
      <c r="C668" s="17" t="s">
        <v>151</v>
      </c>
      <c r="D668" s="37" t="s">
        <v>1098</v>
      </c>
      <c r="E668" s="36" t="s">
        <v>632</v>
      </c>
      <c r="F668" s="38"/>
      <c r="I668" s="57"/>
      <c r="J668" s="57"/>
      <c r="M668" s="15"/>
    </row>
    <row r="669" ht="63.0" customHeight="1">
      <c r="A669" s="26"/>
      <c r="B669" s="26"/>
      <c r="C669" s="17" t="s">
        <v>151</v>
      </c>
      <c r="D669" s="37" t="s">
        <v>1099</v>
      </c>
      <c r="E669" s="36" t="s">
        <v>637</v>
      </c>
      <c r="F669" s="38"/>
      <c r="I669" s="57"/>
      <c r="J669" s="57"/>
      <c r="M669" s="15"/>
    </row>
    <row r="670" ht="63.0" customHeight="1">
      <c r="A670" s="26"/>
      <c r="B670" s="26"/>
      <c r="C670" s="17" t="s">
        <v>151</v>
      </c>
      <c r="D670" s="37" t="s">
        <v>1100</v>
      </c>
      <c r="E670" s="36" t="s">
        <v>632</v>
      </c>
      <c r="F670" s="38"/>
      <c r="I670" s="57"/>
      <c r="J670" s="57"/>
      <c r="M670" s="15"/>
    </row>
    <row r="671" ht="63.0" customHeight="1">
      <c r="A671" s="26"/>
      <c r="B671" s="26"/>
      <c r="C671" s="17" t="s">
        <v>151</v>
      </c>
      <c r="D671" s="37" t="s">
        <v>1101</v>
      </c>
      <c r="E671" s="36" t="s">
        <v>632</v>
      </c>
      <c r="F671" s="38"/>
      <c r="I671" s="57"/>
      <c r="J671" s="57"/>
      <c r="M671" s="15"/>
    </row>
    <row r="672" ht="63.0" customHeight="1">
      <c r="A672" s="26"/>
      <c r="B672" s="26"/>
      <c r="C672" s="17" t="s">
        <v>151</v>
      </c>
      <c r="D672" s="37" t="s">
        <v>1102</v>
      </c>
      <c r="E672" s="36" t="s">
        <v>632</v>
      </c>
      <c r="F672" s="38"/>
      <c r="I672" s="57"/>
      <c r="J672" s="57"/>
      <c r="M672" s="15"/>
    </row>
    <row r="673" ht="63.0" customHeight="1">
      <c r="A673" s="26"/>
      <c r="B673" s="26"/>
      <c r="C673" s="17" t="s">
        <v>151</v>
      </c>
      <c r="D673" s="37" t="s">
        <v>1103</v>
      </c>
      <c r="E673" s="36" t="s">
        <v>637</v>
      </c>
      <c r="F673" s="38"/>
      <c r="I673" s="57"/>
      <c r="J673" s="57"/>
      <c r="M673" s="15"/>
    </row>
    <row r="674" ht="63.0" customHeight="1">
      <c r="A674" s="26"/>
      <c r="B674" s="26"/>
      <c r="C674" s="17" t="s">
        <v>151</v>
      </c>
      <c r="D674" s="37" t="s">
        <v>1104</v>
      </c>
      <c r="E674" s="36" t="s">
        <v>637</v>
      </c>
      <c r="F674" s="38"/>
      <c r="I674" s="57"/>
      <c r="J674" s="57"/>
      <c r="M674" s="15"/>
    </row>
    <row r="675" ht="63.0" customHeight="1">
      <c r="A675" s="26"/>
      <c r="B675" s="26"/>
      <c r="C675" s="17" t="s">
        <v>151</v>
      </c>
      <c r="D675" s="37" t="s">
        <v>1105</v>
      </c>
      <c r="E675" s="36" t="s">
        <v>632</v>
      </c>
      <c r="F675" s="38"/>
      <c r="I675" s="57"/>
      <c r="J675" s="57"/>
      <c r="M675" s="15"/>
    </row>
    <row r="676" ht="63.0" customHeight="1">
      <c r="A676" s="26"/>
      <c r="B676" s="26"/>
      <c r="C676" s="17" t="s">
        <v>151</v>
      </c>
      <c r="D676" s="37" t="s">
        <v>1106</v>
      </c>
      <c r="E676" s="36" t="s">
        <v>632</v>
      </c>
      <c r="F676" s="38"/>
      <c r="I676" s="57"/>
      <c r="J676" s="57"/>
      <c r="M676" s="15"/>
    </row>
    <row r="677" ht="63.0" customHeight="1">
      <c r="A677" s="26"/>
      <c r="B677" s="26"/>
      <c r="C677" s="17" t="s">
        <v>151</v>
      </c>
      <c r="D677" s="37" t="s">
        <v>1107</v>
      </c>
      <c r="E677" s="36" t="s">
        <v>632</v>
      </c>
      <c r="F677" s="38"/>
      <c r="I677" s="57"/>
      <c r="J677" s="57"/>
      <c r="M677" s="15"/>
    </row>
    <row r="678" ht="63.0" customHeight="1">
      <c r="A678" s="26"/>
      <c r="B678" s="26"/>
      <c r="C678" s="17" t="s">
        <v>151</v>
      </c>
      <c r="D678" s="37" t="s">
        <v>1108</v>
      </c>
      <c r="E678" s="36" t="s">
        <v>632</v>
      </c>
      <c r="F678" s="38"/>
      <c r="I678" s="57"/>
      <c r="J678" s="57"/>
      <c r="M678" s="15"/>
    </row>
    <row r="679" ht="63.0" customHeight="1">
      <c r="A679" s="26"/>
      <c r="B679" s="26"/>
      <c r="C679" s="17" t="s">
        <v>151</v>
      </c>
      <c r="D679" s="37" t="s">
        <v>1109</v>
      </c>
      <c r="E679" s="36" t="s">
        <v>637</v>
      </c>
      <c r="F679" s="38"/>
      <c r="I679" s="57"/>
      <c r="J679" s="57"/>
      <c r="M679" s="15"/>
    </row>
    <row r="680" ht="63.0" customHeight="1">
      <c r="A680" s="26"/>
      <c r="B680" s="26"/>
      <c r="C680" s="17" t="s">
        <v>151</v>
      </c>
      <c r="D680" s="37" t="s">
        <v>1110</v>
      </c>
      <c r="E680" s="36" t="s">
        <v>1111</v>
      </c>
      <c r="F680" s="38"/>
      <c r="I680" s="57"/>
      <c r="J680" s="57"/>
      <c r="M680" s="15"/>
    </row>
    <row r="681" ht="63.0" customHeight="1">
      <c r="A681" s="26"/>
      <c r="B681" s="26"/>
      <c r="C681" s="17" t="s">
        <v>151</v>
      </c>
      <c r="D681" s="37" t="s">
        <v>1112</v>
      </c>
      <c r="E681" s="36" t="s">
        <v>637</v>
      </c>
      <c r="F681" s="38"/>
      <c r="I681" s="57"/>
      <c r="J681" s="57"/>
      <c r="M681" s="15"/>
    </row>
    <row r="682" ht="63.0" customHeight="1">
      <c r="A682" s="26"/>
      <c r="B682" s="26"/>
      <c r="C682" s="17" t="s">
        <v>151</v>
      </c>
      <c r="D682" s="37" t="s">
        <v>878</v>
      </c>
      <c r="E682" s="36" t="s">
        <v>1111</v>
      </c>
      <c r="F682" s="38"/>
      <c r="I682" s="57"/>
      <c r="J682" s="57"/>
      <c r="M682" s="15"/>
    </row>
    <row r="683" ht="63.0" customHeight="1">
      <c r="A683" s="26"/>
      <c r="B683" s="26"/>
      <c r="C683" s="17" t="s">
        <v>151</v>
      </c>
      <c r="D683" s="37" t="s">
        <v>1113</v>
      </c>
      <c r="E683" s="36" t="s">
        <v>1111</v>
      </c>
      <c r="F683" s="38"/>
      <c r="I683" s="57"/>
      <c r="J683" s="57"/>
      <c r="M683" s="15"/>
    </row>
    <row r="684" ht="63.0" customHeight="1">
      <c r="A684" s="26"/>
      <c r="B684" s="26"/>
      <c r="C684" s="17" t="s">
        <v>151</v>
      </c>
      <c r="D684" s="37" t="s">
        <v>1114</v>
      </c>
      <c r="E684" s="36" t="s">
        <v>637</v>
      </c>
      <c r="F684" s="38"/>
      <c r="I684" s="57"/>
      <c r="J684" s="57"/>
      <c r="M684" s="15"/>
    </row>
    <row r="685" ht="63.0" customHeight="1">
      <c r="A685" s="26"/>
      <c r="B685" s="26"/>
      <c r="C685" s="17" t="s">
        <v>151</v>
      </c>
      <c r="D685" s="37" t="s">
        <v>1115</v>
      </c>
      <c r="E685" s="36" t="s">
        <v>1111</v>
      </c>
      <c r="F685" s="38"/>
      <c r="I685" s="57"/>
      <c r="J685" s="57"/>
      <c r="M685" s="15"/>
    </row>
    <row r="686" ht="63.0" customHeight="1">
      <c r="A686" s="26"/>
      <c r="B686" s="26"/>
      <c r="C686" s="17" t="s">
        <v>151</v>
      </c>
      <c r="D686" s="37" t="s">
        <v>1116</v>
      </c>
      <c r="E686" s="36" t="s">
        <v>637</v>
      </c>
      <c r="F686" s="38"/>
      <c r="I686" s="57"/>
      <c r="J686" s="57"/>
      <c r="M686" s="15"/>
    </row>
    <row r="687" ht="63.0" customHeight="1">
      <c r="A687" s="26"/>
      <c r="B687" s="26"/>
      <c r="C687" s="17" t="s">
        <v>151</v>
      </c>
      <c r="D687" s="37" t="s">
        <v>1117</v>
      </c>
      <c r="E687" s="36" t="s">
        <v>637</v>
      </c>
      <c r="F687" s="38"/>
      <c r="I687" s="57"/>
      <c r="J687" s="57"/>
      <c r="M687" s="15"/>
    </row>
    <row r="688" ht="63.0" customHeight="1">
      <c r="A688" s="26"/>
      <c r="B688" s="26"/>
      <c r="C688" s="17" t="s">
        <v>151</v>
      </c>
      <c r="D688" s="37" t="s">
        <v>1118</v>
      </c>
      <c r="E688" s="36" t="s">
        <v>632</v>
      </c>
      <c r="F688" s="38"/>
      <c r="I688" s="57"/>
      <c r="J688" s="57"/>
      <c r="M688" s="15"/>
    </row>
    <row r="689" ht="63.0" customHeight="1">
      <c r="A689" s="26"/>
      <c r="B689" s="26"/>
      <c r="C689" s="17" t="s">
        <v>151</v>
      </c>
      <c r="D689" s="37" t="s">
        <v>1119</v>
      </c>
      <c r="E689" s="36" t="s">
        <v>632</v>
      </c>
      <c r="F689" s="38"/>
      <c r="I689" s="57"/>
      <c r="J689" s="57"/>
      <c r="M689" s="15"/>
    </row>
    <row r="690" ht="63.0" customHeight="1">
      <c r="A690" s="26"/>
      <c r="B690" s="26"/>
      <c r="C690" s="17" t="s">
        <v>151</v>
      </c>
      <c r="D690" s="37" t="s">
        <v>1120</v>
      </c>
      <c r="E690" s="36" t="s">
        <v>1111</v>
      </c>
      <c r="F690" s="38"/>
      <c r="I690" s="57"/>
      <c r="J690" s="57"/>
      <c r="M690" s="15"/>
    </row>
    <row r="691" ht="63.0" customHeight="1">
      <c r="A691" s="26"/>
      <c r="B691" s="26"/>
      <c r="C691" s="17" t="s">
        <v>151</v>
      </c>
      <c r="D691" s="37" t="s">
        <v>1121</v>
      </c>
      <c r="E691" s="36" t="s">
        <v>637</v>
      </c>
      <c r="F691" s="38"/>
      <c r="I691" s="57"/>
      <c r="J691" s="57"/>
      <c r="M691" s="15"/>
    </row>
    <row r="692" ht="63.0" customHeight="1">
      <c r="A692" s="26"/>
      <c r="B692" s="26"/>
      <c r="C692" s="17" t="s">
        <v>151</v>
      </c>
      <c r="D692" s="37" t="s">
        <v>1122</v>
      </c>
      <c r="E692" s="36" t="s">
        <v>1111</v>
      </c>
      <c r="F692" s="38"/>
      <c r="I692" s="57"/>
      <c r="J692" s="57"/>
      <c r="M692" s="15"/>
    </row>
    <row r="693" ht="63.0" customHeight="1">
      <c r="A693" s="26"/>
      <c r="B693" s="26"/>
      <c r="C693" s="17" t="s">
        <v>151</v>
      </c>
      <c r="D693" s="37" t="s">
        <v>1123</v>
      </c>
      <c r="E693" s="36" t="s">
        <v>632</v>
      </c>
      <c r="F693" s="38"/>
      <c r="I693" s="57"/>
      <c r="J693" s="57"/>
      <c r="M693" s="15"/>
    </row>
    <row r="694" ht="63.0" customHeight="1">
      <c r="A694" s="26"/>
      <c r="B694" s="26"/>
      <c r="C694" s="17" t="s">
        <v>151</v>
      </c>
      <c r="D694" s="37" t="s">
        <v>1124</v>
      </c>
      <c r="E694" s="36" t="s">
        <v>632</v>
      </c>
      <c r="F694" s="38"/>
      <c r="I694" s="57"/>
      <c r="J694" s="57"/>
      <c r="M694" s="15"/>
    </row>
    <row r="695" ht="63.0" customHeight="1">
      <c r="A695" s="26"/>
      <c r="B695" s="26"/>
      <c r="C695" s="17" t="s">
        <v>151</v>
      </c>
      <c r="D695" s="37" t="s">
        <v>1125</v>
      </c>
      <c r="E695" s="36" t="s">
        <v>632</v>
      </c>
      <c r="F695" s="38"/>
      <c r="I695" s="57"/>
      <c r="J695" s="57"/>
      <c r="M695" s="15"/>
    </row>
    <row r="696" ht="63.0" customHeight="1">
      <c r="A696" s="26"/>
      <c r="B696" s="26"/>
      <c r="C696" s="17" t="s">
        <v>151</v>
      </c>
      <c r="D696" s="37" t="s">
        <v>1126</v>
      </c>
      <c r="E696" s="36" t="s">
        <v>1111</v>
      </c>
      <c r="F696" s="38"/>
      <c r="I696" s="57"/>
      <c r="J696" s="57"/>
      <c r="M696" s="15"/>
    </row>
    <row r="697" ht="63.0" customHeight="1">
      <c r="A697" s="26"/>
      <c r="B697" s="26"/>
      <c r="C697" s="17" t="s">
        <v>151</v>
      </c>
      <c r="D697" s="37" t="s">
        <v>1127</v>
      </c>
      <c r="E697" s="36" t="s">
        <v>637</v>
      </c>
      <c r="F697" s="38"/>
      <c r="I697" s="57"/>
      <c r="J697" s="57"/>
      <c r="M697" s="15"/>
    </row>
    <row r="698" ht="63.0" customHeight="1">
      <c r="A698" s="26"/>
      <c r="B698" s="26"/>
      <c r="C698" s="17" t="s">
        <v>151</v>
      </c>
      <c r="D698" s="37" t="s">
        <v>1128</v>
      </c>
      <c r="E698" s="36" t="s">
        <v>1111</v>
      </c>
      <c r="F698" s="38"/>
      <c r="I698" s="57"/>
      <c r="J698" s="57"/>
      <c r="M698" s="15"/>
    </row>
    <row r="699" ht="63.0" customHeight="1">
      <c r="A699" s="26"/>
      <c r="B699" s="26"/>
      <c r="C699" s="17" t="s">
        <v>151</v>
      </c>
      <c r="D699" s="37" t="s">
        <v>1129</v>
      </c>
      <c r="E699" s="36" t="s">
        <v>637</v>
      </c>
      <c r="F699" s="38"/>
      <c r="I699" s="57"/>
      <c r="J699" s="57"/>
      <c r="M699" s="15"/>
    </row>
    <row r="700" ht="63.0" customHeight="1">
      <c r="A700" s="26"/>
      <c r="B700" s="26"/>
      <c r="C700" s="17" t="s">
        <v>151</v>
      </c>
      <c r="D700" s="37" t="s">
        <v>1130</v>
      </c>
      <c r="E700" s="36" t="s">
        <v>632</v>
      </c>
      <c r="F700" s="38"/>
      <c r="I700" s="57"/>
      <c r="J700" s="57"/>
      <c r="M700" s="15"/>
    </row>
    <row r="701" ht="63.0" customHeight="1">
      <c r="A701" s="26"/>
      <c r="B701" s="26"/>
      <c r="C701" s="17" t="s">
        <v>151</v>
      </c>
      <c r="D701" s="37" t="s">
        <v>1131</v>
      </c>
      <c r="E701" s="36" t="s">
        <v>632</v>
      </c>
      <c r="F701" s="38"/>
      <c r="I701" s="57"/>
      <c r="J701" s="57"/>
      <c r="M701" s="15"/>
    </row>
    <row r="702" ht="63.0" customHeight="1">
      <c r="A702" s="26"/>
      <c r="B702" s="26"/>
      <c r="C702" s="17" t="s">
        <v>151</v>
      </c>
      <c r="D702" s="37" t="s">
        <v>1132</v>
      </c>
      <c r="E702" s="36" t="s">
        <v>1111</v>
      </c>
      <c r="F702" s="38"/>
      <c r="I702" s="57"/>
      <c r="J702" s="57"/>
      <c r="M702" s="15"/>
    </row>
    <row r="703" ht="63.0" customHeight="1">
      <c r="A703" s="26"/>
      <c r="B703" s="26"/>
      <c r="C703" s="17" t="s">
        <v>151</v>
      </c>
      <c r="D703" s="37" t="s">
        <v>1133</v>
      </c>
      <c r="E703" s="36" t="s">
        <v>1111</v>
      </c>
      <c r="F703" s="38"/>
      <c r="I703" s="57"/>
      <c r="J703" s="57"/>
      <c r="M703" s="15"/>
    </row>
    <row r="704" ht="63.0" customHeight="1">
      <c r="A704" s="26"/>
      <c r="B704" s="26"/>
      <c r="C704" s="17" t="s">
        <v>151</v>
      </c>
      <c r="D704" s="37" t="s">
        <v>1134</v>
      </c>
      <c r="E704" s="36" t="s">
        <v>632</v>
      </c>
      <c r="F704" s="38"/>
      <c r="I704" s="57"/>
      <c r="J704" s="57"/>
      <c r="M704" s="15"/>
    </row>
    <row r="705" ht="63.0" customHeight="1">
      <c r="A705" s="26"/>
      <c r="B705" s="26"/>
      <c r="C705" s="17" t="s">
        <v>151</v>
      </c>
      <c r="D705" s="37" t="s">
        <v>1135</v>
      </c>
      <c r="E705" s="36" t="s">
        <v>632</v>
      </c>
      <c r="F705" s="38"/>
      <c r="I705" s="57"/>
      <c r="J705" s="57"/>
      <c r="M705" s="15"/>
    </row>
    <row r="706" ht="63.0" customHeight="1">
      <c r="A706" s="26"/>
      <c r="B706" s="26"/>
      <c r="C706" s="17" t="s">
        <v>151</v>
      </c>
      <c r="D706" s="37" t="s">
        <v>1136</v>
      </c>
      <c r="E706" s="36" t="s">
        <v>637</v>
      </c>
      <c r="F706" s="38"/>
      <c r="I706" s="57"/>
      <c r="J706" s="57"/>
      <c r="M706" s="15"/>
    </row>
    <row r="707" ht="63.0" customHeight="1">
      <c r="A707" s="26"/>
      <c r="B707" s="26"/>
      <c r="C707" s="17" t="s">
        <v>151</v>
      </c>
      <c r="D707" s="37" t="s">
        <v>1137</v>
      </c>
      <c r="E707" s="36" t="s">
        <v>632</v>
      </c>
      <c r="F707" s="38"/>
      <c r="I707" s="57"/>
      <c r="J707" s="57"/>
      <c r="M707" s="15"/>
    </row>
    <row r="708" ht="63.0" customHeight="1">
      <c r="A708" s="26"/>
      <c r="B708" s="26"/>
      <c r="C708" s="17" t="s">
        <v>151</v>
      </c>
      <c r="D708" s="37" t="s">
        <v>1138</v>
      </c>
      <c r="E708" s="36" t="s">
        <v>637</v>
      </c>
      <c r="F708" s="38"/>
      <c r="I708" s="57"/>
      <c r="J708" s="57"/>
      <c r="M708" s="15"/>
    </row>
    <row r="709" ht="63.0" customHeight="1">
      <c r="A709" s="26"/>
      <c r="B709" s="26"/>
      <c r="C709" s="17" t="s">
        <v>151</v>
      </c>
      <c r="D709" s="37" t="s">
        <v>1139</v>
      </c>
      <c r="E709" s="36" t="s">
        <v>637</v>
      </c>
      <c r="F709" s="38"/>
      <c r="I709" s="57"/>
      <c r="J709" s="57"/>
      <c r="M709" s="15"/>
    </row>
    <row r="710" ht="63.0" customHeight="1">
      <c r="A710" s="26"/>
      <c r="B710" s="26"/>
      <c r="C710" s="17" t="s">
        <v>151</v>
      </c>
      <c r="D710" s="37" t="s">
        <v>1140</v>
      </c>
      <c r="E710" s="36" t="s">
        <v>637</v>
      </c>
      <c r="F710" s="38"/>
      <c r="I710" s="57"/>
      <c r="J710" s="57"/>
      <c r="M710" s="15"/>
    </row>
    <row r="711" ht="63.0" customHeight="1">
      <c r="A711" s="26"/>
      <c r="B711" s="26"/>
      <c r="C711" s="17" t="s">
        <v>151</v>
      </c>
      <c r="D711" s="37" t="s">
        <v>1141</v>
      </c>
      <c r="E711" s="36" t="s">
        <v>632</v>
      </c>
      <c r="F711" s="38"/>
      <c r="I711" s="57"/>
      <c r="J711" s="57"/>
      <c r="M711" s="15"/>
    </row>
    <row r="712" ht="63.0" customHeight="1">
      <c r="A712" s="26"/>
      <c r="B712" s="26"/>
      <c r="C712" s="17" t="s">
        <v>151</v>
      </c>
      <c r="D712" s="37" t="s">
        <v>1142</v>
      </c>
      <c r="E712" s="36" t="s">
        <v>637</v>
      </c>
      <c r="F712" s="38"/>
      <c r="I712" s="57"/>
      <c r="J712" s="57"/>
      <c r="M712" s="15"/>
    </row>
    <row r="713" ht="63.0" customHeight="1">
      <c r="A713" s="26"/>
      <c r="B713" s="26"/>
      <c r="C713" s="17" t="s">
        <v>151</v>
      </c>
      <c r="D713" s="37" t="s">
        <v>1143</v>
      </c>
      <c r="E713" s="36" t="s">
        <v>632</v>
      </c>
      <c r="F713" s="38"/>
      <c r="I713" s="57"/>
      <c r="J713" s="57"/>
      <c r="M713" s="15"/>
    </row>
    <row r="714" ht="63.0" customHeight="1">
      <c r="A714" s="26"/>
      <c r="B714" s="26"/>
      <c r="C714" s="17" t="s">
        <v>151</v>
      </c>
      <c r="D714" s="37" t="s">
        <v>1144</v>
      </c>
      <c r="E714" s="36" t="s">
        <v>632</v>
      </c>
      <c r="F714" s="38"/>
      <c r="I714" s="57"/>
      <c r="J714" s="57"/>
      <c r="M714" s="15"/>
    </row>
    <row r="715" ht="63.0" customHeight="1">
      <c r="A715" s="26"/>
      <c r="B715" s="26"/>
      <c r="C715" s="17" t="s">
        <v>151</v>
      </c>
      <c r="D715" s="37" t="s">
        <v>1145</v>
      </c>
      <c r="E715" s="36" t="s">
        <v>632</v>
      </c>
      <c r="F715" s="38"/>
      <c r="I715" s="57"/>
      <c r="J715" s="57"/>
      <c r="M715" s="15"/>
    </row>
    <row r="716" ht="63.0" customHeight="1">
      <c r="A716" s="26"/>
      <c r="B716" s="26"/>
      <c r="C716" s="17" t="s">
        <v>151</v>
      </c>
      <c r="D716" s="37" t="s">
        <v>1146</v>
      </c>
      <c r="E716" s="36" t="s">
        <v>632</v>
      </c>
      <c r="F716" s="38"/>
      <c r="I716" s="57"/>
      <c r="J716" s="57"/>
      <c r="M716" s="15"/>
    </row>
    <row r="717" ht="63.0" customHeight="1">
      <c r="A717" s="26"/>
      <c r="B717" s="26"/>
      <c r="C717" s="17" t="s">
        <v>151</v>
      </c>
      <c r="D717" s="37" t="s">
        <v>1147</v>
      </c>
      <c r="E717" s="36" t="s">
        <v>632</v>
      </c>
      <c r="F717" s="38"/>
      <c r="I717" s="57"/>
      <c r="J717" s="57"/>
      <c r="M717" s="15"/>
    </row>
    <row r="718" ht="63.0" customHeight="1">
      <c r="A718" s="26"/>
      <c r="B718" s="26"/>
      <c r="C718" s="17" t="s">
        <v>151</v>
      </c>
      <c r="D718" s="37" t="s">
        <v>1148</v>
      </c>
      <c r="E718" s="36" t="s">
        <v>632</v>
      </c>
      <c r="F718" s="38"/>
      <c r="I718" s="57"/>
      <c r="J718" s="57"/>
      <c r="M718" s="15"/>
    </row>
    <row r="719" ht="63.0" customHeight="1">
      <c r="A719" s="26"/>
      <c r="B719" s="26"/>
      <c r="C719" s="17" t="s">
        <v>151</v>
      </c>
      <c r="D719" s="37" t="s">
        <v>1149</v>
      </c>
      <c r="E719" s="36" t="s">
        <v>637</v>
      </c>
      <c r="F719" s="38"/>
      <c r="I719" s="57"/>
      <c r="J719" s="57"/>
      <c r="M719" s="15"/>
    </row>
    <row r="720" ht="63.0" customHeight="1">
      <c r="A720" s="26"/>
      <c r="B720" s="26"/>
      <c r="C720" s="17" t="s">
        <v>151</v>
      </c>
      <c r="D720" s="37" t="s">
        <v>1150</v>
      </c>
      <c r="E720" s="36" t="s">
        <v>1111</v>
      </c>
      <c r="F720" s="38"/>
      <c r="I720" s="57"/>
      <c r="J720" s="57"/>
      <c r="M720" s="15"/>
    </row>
    <row r="721" ht="63.0" customHeight="1">
      <c r="A721" s="26"/>
      <c r="B721" s="26"/>
      <c r="C721" s="17" t="s">
        <v>151</v>
      </c>
      <c r="D721" s="37" t="s">
        <v>1151</v>
      </c>
      <c r="E721" s="36" t="s">
        <v>632</v>
      </c>
      <c r="F721" s="38"/>
      <c r="I721" s="57"/>
      <c r="J721" s="57"/>
      <c r="M721" s="15"/>
    </row>
    <row r="722" ht="63.0" customHeight="1">
      <c r="A722" s="26"/>
      <c r="B722" s="26"/>
      <c r="C722" s="17" t="s">
        <v>151</v>
      </c>
      <c r="D722" s="37" t="s">
        <v>1152</v>
      </c>
      <c r="E722" s="36" t="s">
        <v>1111</v>
      </c>
      <c r="F722" s="38"/>
      <c r="I722" s="57"/>
      <c r="J722" s="57"/>
      <c r="M722" s="15"/>
    </row>
    <row r="723" ht="63.0" customHeight="1">
      <c r="A723" s="26"/>
      <c r="B723" s="26"/>
      <c r="C723" s="17" t="s">
        <v>151</v>
      </c>
      <c r="D723" s="37" t="s">
        <v>1153</v>
      </c>
      <c r="E723" s="36" t="s">
        <v>632</v>
      </c>
      <c r="F723" s="38"/>
      <c r="I723" s="57"/>
      <c r="J723" s="57"/>
      <c r="M723" s="15"/>
    </row>
    <row r="724" ht="63.0" customHeight="1">
      <c r="A724" s="26"/>
      <c r="B724" s="26"/>
      <c r="C724" s="17" t="s">
        <v>151</v>
      </c>
      <c r="D724" s="37" t="s">
        <v>1154</v>
      </c>
      <c r="E724" s="36" t="s">
        <v>632</v>
      </c>
      <c r="F724" s="38"/>
      <c r="I724" s="57"/>
      <c r="J724" s="57"/>
      <c r="M724" s="15"/>
    </row>
    <row r="725" ht="63.0" customHeight="1">
      <c r="A725" s="26"/>
      <c r="B725" s="26"/>
      <c r="C725" s="17" t="s">
        <v>151</v>
      </c>
      <c r="D725" s="37" t="s">
        <v>1155</v>
      </c>
      <c r="E725" s="36" t="s">
        <v>632</v>
      </c>
      <c r="F725" s="38"/>
      <c r="I725" s="57"/>
      <c r="J725" s="57"/>
      <c r="M725" s="15"/>
    </row>
    <row r="726" ht="63.0" customHeight="1">
      <c r="A726" s="26"/>
      <c r="B726" s="26"/>
      <c r="C726" s="17" t="s">
        <v>151</v>
      </c>
      <c r="D726" s="37" t="s">
        <v>1156</v>
      </c>
      <c r="E726" s="36" t="s">
        <v>1111</v>
      </c>
      <c r="F726" s="38"/>
      <c r="I726" s="57"/>
      <c r="J726" s="57"/>
      <c r="M726" s="15"/>
    </row>
    <row r="727" ht="63.0" customHeight="1">
      <c r="A727" s="26"/>
      <c r="B727" s="26"/>
      <c r="C727" s="17" t="s">
        <v>151</v>
      </c>
      <c r="D727" s="37" t="s">
        <v>1157</v>
      </c>
      <c r="E727" s="36" t="s">
        <v>632</v>
      </c>
      <c r="F727" s="38"/>
      <c r="I727" s="57"/>
      <c r="J727" s="57"/>
      <c r="M727" s="15"/>
    </row>
    <row r="728" ht="63.0" customHeight="1">
      <c r="A728" s="26"/>
      <c r="B728" s="26"/>
      <c r="C728" s="17" t="s">
        <v>151</v>
      </c>
      <c r="D728" s="37" t="s">
        <v>1158</v>
      </c>
      <c r="E728" s="36" t="s">
        <v>637</v>
      </c>
      <c r="F728" s="38"/>
      <c r="I728" s="57"/>
      <c r="J728" s="57"/>
      <c r="M728" s="15"/>
    </row>
    <row r="729" ht="63.0" customHeight="1">
      <c r="A729" s="26"/>
      <c r="B729" s="26"/>
      <c r="C729" s="17" t="s">
        <v>151</v>
      </c>
      <c r="D729" s="37" t="s">
        <v>1159</v>
      </c>
      <c r="E729" s="36" t="s">
        <v>1111</v>
      </c>
      <c r="F729" s="38"/>
      <c r="I729" s="57"/>
      <c r="J729" s="57"/>
      <c r="M729" s="15"/>
    </row>
    <row r="730" ht="63.0" customHeight="1">
      <c r="A730" s="26"/>
      <c r="B730" s="26"/>
      <c r="C730" s="17" t="s">
        <v>151</v>
      </c>
      <c r="D730" s="37" t="s">
        <v>1160</v>
      </c>
      <c r="E730" s="36" t="s">
        <v>1111</v>
      </c>
      <c r="F730" s="38"/>
      <c r="I730" s="57"/>
      <c r="J730" s="57"/>
      <c r="M730" s="15"/>
    </row>
    <row r="731" ht="63.0" customHeight="1">
      <c r="A731" s="26"/>
      <c r="B731" s="26"/>
      <c r="C731" s="17" t="s">
        <v>151</v>
      </c>
      <c r="D731" s="37" t="s">
        <v>1161</v>
      </c>
      <c r="E731" s="36" t="s">
        <v>632</v>
      </c>
      <c r="F731" s="38"/>
      <c r="I731" s="57"/>
      <c r="J731" s="57"/>
      <c r="M731" s="15"/>
    </row>
    <row r="732" ht="63.0" customHeight="1">
      <c r="A732" s="26"/>
      <c r="B732" s="26"/>
      <c r="C732" s="17" t="s">
        <v>151</v>
      </c>
      <c r="D732" s="37" t="s">
        <v>1162</v>
      </c>
      <c r="E732" s="36" t="s">
        <v>632</v>
      </c>
      <c r="F732" s="38"/>
      <c r="I732" s="57"/>
      <c r="J732" s="57"/>
      <c r="M732" s="15"/>
    </row>
    <row r="733" ht="63.0" customHeight="1">
      <c r="A733" s="26"/>
      <c r="B733" s="26"/>
      <c r="C733" s="17" t="s">
        <v>151</v>
      </c>
      <c r="D733" s="37" t="s">
        <v>1163</v>
      </c>
      <c r="E733" s="36" t="s">
        <v>637</v>
      </c>
      <c r="F733" s="38"/>
      <c r="I733" s="57"/>
      <c r="J733" s="57"/>
      <c r="M733" s="15"/>
    </row>
    <row r="734" ht="63.0" customHeight="1">
      <c r="A734" s="26"/>
      <c r="B734" s="26"/>
      <c r="C734" s="17" t="s">
        <v>151</v>
      </c>
      <c r="D734" s="37" t="s">
        <v>1164</v>
      </c>
      <c r="E734" s="36" t="s">
        <v>1111</v>
      </c>
      <c r="F734" s="38"/>
      <c r="I734" s="57"/>
      <c r="J734" s="57"/>
      <c r="M734" s="15"/>
    </row>
    <row r="735" ht="63.0" customHeight="1">
      <c r="A735" s="26"/>
      <c r="B735" s="26"/>
      <c r="C735" s="17" t="s">
        <v>151</v>
      </c>
      <c r="D735" s="37" t="s">
        <v>1165</v>
      </c>
      <c r="E735" s="36" t="s">
        <v>1111</v>
      </c>
      <c r="F735" s="38"/>
      <c r="I735" s="57"/>
      <c r="J735" s="57"/>
      <c r="M735" s="15"/>
    </row>
    <row r="736" ht="63.0" customHeight="1">
      <c r="A736" s="26"/>
      <c r="B736" s="26"/>
      <c r="C736" s="17" t="s">
        <v>151</v>
      </c>
      <c r="D736" s="37" t="s">
        <v>1166</v>
      </c>
      <c r="E736" s="36" t="s">
        <v>632</v>
      </c>
      <c r="F736" s="38"/>
      <c r="I736" s="57"/>
      <c r="J736" s="57"/>
      <c r="M736" s="15"/>
    </row>
    <row r="737" ht="63.0" customHeight="1">
      <c r="A737" s="26"/>
      <c r="B737" s="26"/>
      <c r="C737" s="17" t="s">
        <v>151</v>
      </c>
      <c r="D737" s="37" t="s">
        <v>1167</v>
      </c>
      <c r="E737" s="36" t="s">
        <v>1111</v>
      </c>
      <c r="F737" s="38"/>
      <c r="I737" s="57"/>
      <c r="J737" s="57"/>
      <c r="M737" s="15"/>
    </row>
    <row r="738" ht="63.0" customHeight="1">
      <c r="A738" s="26"/>
      <c r="B738" s="26"/>
      <c r="C738" s="17" t="s">
        <v>151</v>
      </c>
      <c r="D738" s="37" t="s">
        <v>1167</v>
      </c>
      <c r="E738" s="36" t="s">
        <v>1111</v>
      </c>
      <c r="F738" s="38"/>
      <c r="I738" s="57"/>
      <c r="J738" s="57"/>
      <c r="M738" s="15"/>
    </row>
    <row r="739" ht="63.0" customHeight="1">
      <c r="A739" s="26"/>
      <c r="B739" s="26"/>
      <c r="C739" s="17" t="s">
        <v>151</v>
      </c>
      <c r="D739" s="37" t="s">
        <v>1168</v>
      </c>
      <c r="E739" s="36" t="s">
        <v>1111</v>
      </c>
      <c r="F739" s="38"/>
      <c r="I739" s="57"/>
      <c r="J739" s="57"/>
      <c r="M739" s="15"/>
    </row>
    <row r="740" ht="63.0" customHeight="1">
      <c r="A740" s="26"/>
      <c r="B740" s="26"/>
      <c r="C740" s="17" t="s">
        <v>151</v>
      </c>
      <c r="D740" s="37" t="s">
        <v>1169</v>
      </c>
      <c r="E740" s="36" t="s">
        <v>632</v>
      </c>
      <c r="F740" s="38"/>
      <c r="I740" s="57"/>
      <c r="J740" s="57"/>
      <c r="M740" s="15"/>
    </row>
    <row r="741" ht="63.0" customHeight="1">
      <c r="A741" s="26"/>
      <c r="B741" s="26"/>
      <c r="C741" s="17" t="s">
        <v>151</v>
      </c>
      <c r="D741" s="37" t="s">
        <v>1170</v>
      </c>
      <c r="E741" s="36" t="s">
        <v>1111</v>
      </c>
      <c r="F741" s="38"/>
      <c r="I741" s="57"/>
      <c r="J741" s="57"/>
      <c r="M741" s="15"/>
    </row>
    <row r="742" ht="63.0" customHeight="1">
      <c r="A742" s="26"/>
      <c r="B742" s="26"/>
      <c r="C742" s="17" t="s">
        <v>151</v>
      </c>
      <c r="D742" s="37" t="s">
        <v>1171</v>
      </c>
      <c r="E742" s="36" t="s">
        <v>637</v>
      </c>
      <c r="F742" s="38"/>
      <c r="I742" s="57"/>
      <c r="J742" s="57"/>
      <c r="M742" s="15"/>
    </row>
    <row r="743" ht="63.0" customHeight="1">
      <c r="A743" s="26"/>
      <c r="B743" s="26"/>
      <c r="C743" s="17" t="s">
        <v>151</v>
      </c>
      <c r="D743" s="37" t="s">
        <v>1172</v>
      </c>
      <c r="E743" s="36" t="s">
        <v>637</v>
      </c>
      <c r="F743" s="38"/>
      <c r="I743" s="57"/>
      <c r="J743" s="57"/>
      <c r="M743" s="15"/>
    </row>
    <row r="744" ht="63.0" customHeight="1">
      <c r="A744" s="26"/>
      <c r="B744" s="26"/>
      <c r="C744" s="17" t="s">
        <v>151</v>
      </c>
      <c r="D744" s="37" t="s">
        <v>1173</v>
      </c>
      <c r="E744" s="36" t="s">
        <v>637</v>
      </c>
      <c r="F744" s="38"/>
      <c r="I744" s="57"/>
      <c r="J744" s="57"/>
      <c r="M744" s="15"/>
    </row>
    <row r="745" ht="63.0" customHeight="1">
      <c r="A745" s="26"/>
      <c r="B745" s="26"/>
      <c r="C745" s="17" t="s">
        <v>151</v>
      </c>
      <c r="D745" s="37" t="s">
        <v>1174</v>
      </c>
      <c r="E745" s="36" t="s">
        <v>632</v>
      </c>
      <c r="F745" s="38"/>
      <c r="I745" s="57"/>
      <c r="J745" s="57"/>
      <c r="M745" s="15"/>
    </row>
    <row r="746" ht="63.0" customHeight="1">
      <c r="A746" s="26"/>
      <c r="B746" s="26"/>
      <c r="C746" s="17" t="s">
        <v>151</v>
      </c>
      <c r="D746" s="37" t="s">
        <v>1175</v>
      </c>
      <c r="E746" s="36" t="s">
        <v>637</v>
      </c>
      <c r="F746" s="38"/>
      <c r="I746" s="57"/>
      <c r="J746" s="57"/>
      <c r="M746" s="15"/>
    </row>
    <row r="747" ht="63.0" customHeight="1">
      <c r="A747" s="26"/>
      <c r="B747" s="26"/>
      <c r="C747" s="17" t="s">
        <v>151</v>
      </c>
      <c r="D747" s="37" t="s">
        <v>1176</v>
      </c>
      <c r="E747" s="36" t="s">
        <v>632</v>
      </c>
      <c r="F747" s="38"/>
      <c r="I747" s="57"/>
      <c r="J747" s="57"/>
      <c r="M747" s="15"/>
    </row>
    <row r="748" ht="63.0" customHeight="1">
      <c r="A748" s="26"/>
      <c r="B748" s="26"/>
      <c r="C748" s="17" t="s">
        <v>151</v>
      </c>
      <c r="D748" s="37" t="s">
        <v>1177</v>
      </c>
      <c r="E748" s="36" t="s">
        <v>632</v>
      </c>
      <c r="F748" s="38"/>
      <c r="I748" s="57"/>
      <c r="J748" s="57"/>
      <c r="M748" s="15"/>
    </row>
    <row r="749" ht="63.0" customHeight="1">
      <c r="A749" s="26"/>
      <c r="B749" s="26"/>
      <c r="C749" s="17" t="s">
        <v>151</v>
      </c>
      <c r="D749" s="37" t="s">
        <v>1178</v>
      </c>
      <c r="E749" s="36" t="s">
        <v>637</v>
      </c>
      <c r="F749" s="38"/>
      <c r="I749" s="57"/>
      <c r="J749" s="57"/>
      <c r="M749" s="15"/>
    </row>
    <row r="750" ht="63.0" customHeight="1">
      <c r="A750" s="26"/>
      <c r="B750" s="26"/>
      <c r="C750" s="17" t="s">
        <v>151</v>
      </c>
      <c r="D750" s="37" t="s">
        <v>1179</v>
      </c>
      <c r="E750" s="36" t="s">
        <v>637</v>
      </c>
      <c r="F750" s="38"/>
      <c r="I750" s="57"/>
      <c r="J750" s="57"/>
      <c r="M750" s="15"/>
    </row>
    <row r="751" ht="63.0" customHeight="1">
      <c r="A751" s="26"/>
      <c r="B751" s="26"/>
      <c r="C751" s="17" t="s">
        <v>151</v>
      </c>
      <c r="D751" s="37" t="s">
        <v>1180</v>
      </c>
      <c r="E751" s="36" t="s">
        <v>637</v>
      </c>
      <c r="F751" s="38"/>
      <c r="I751" s="57"/>
      <c r="J751" s="57"/>
      <c r="M751" s="15"/>
    </row>
    <row r="752" ht="63.0" customHeight="1">
      <c r="A752" s="26"/>
      <c r="B752" s="26"/>
      <c r="C752" s="17" t="s">
        <v>151</v>
      </c>
      <c r="D752" s="37" t="s">
        <v>1181</v>
      </c>
      <c r="E752" s="36" t="s">
        <v>637</v>
      </c>
      <c r="F752" s="38"/>
      <c r="I752" s="57"/>
      <c r="J752" s="57"/>
      <c r="M752" s="15"/>
    </row>
    <row r="753" ht="63.0" customHeight="1">
      <c r="A753" s="26"/>
      <c r="B753" s="26"/>
      <c r="C753" s="17" t="s">
        <v>151</v>
      </c>
      <c r="D753" s="37" t="s">
        <v>1182</v>
      </c>
      <c r="E753" s="36" t="s">
        <v>632</v>
      </c>
      <c r="F753" s="38"/>
      <c r="I753" s="57"/>
      <c r="J753" s="57"/>
      <c r="M753" s="15"/>
    </row>
    <row r="754" ht="63.0" customHeight="1">
      <c r="A754" s="26"/>
      <c r="B754" s="26"/>
      <c r="C754" s="17" t="s">
        <v>151</v>
      </c>
      <c r="D754" s="37" t="s">
        <v>1183</v>
      </c>
      <c r="E754" s="36" t="s">
        <v>632</v>
      </c>
      <c r="F754" s="38"/>
      <c r="I754" s="57"/>
      <c r="J754" s="57"/>
      <c r="M754" s="15"/>
    </row>
    <row r="755" ht="63.0" customHeight="1">
      <c r="A755" s="26"/>
      <c r="B755" s="26"/>
      <c r="C755" s="17" t="s">
        <v>151</v>
      </c>
      <c r="D755" s="37" t="s">
        <v>1184</v>
      </c>
      <c r="E755" s="36" t="s">
        <v>637</v>
      </c>
      <c r="F755" s="38"/>
      <c r="I755" s="57"/>
      <c r="J755" s="57"/>
      <c r="M755" s="15"/>
    </row>
    <row r="756" ht="63.0" customHeight="1">
      <c r="A756" s="26"/>
      <c r="B756" s="26"/>
      <c r="C756" s="17" t="s">
        <v>151</v>
      </c>
      <c r="D756" s="37" t="s">
        <v>1185</v>
      </c>
      <c r="E756" s="36" t="s">
        <v>632</v>
      </c>
      <c r="F756" s="38"/>
      <c r="I756" s="57"/>
      <c r="J756" s="57"/>
      <c r="M756" s="15"/>
    </row>
    <row r="757" ht="63.0" customHeight="1">
      <c r="A757" s="26"/>
      <c r="B757" s="26"/>
      <c r="C757" s="17" t="s">
        <v>151</v>
      </c>
      <c r="D757" s="37" t="s">
        <v>1185</v>
      </c>
      <c r="E757" s="36" t="s">
        <v>632</v>
      </c>
      <c r="F757" s="38"/>
      <c r="I757" s="57"/>
      <c r="J757" s="57"/>
      <c r="M757" s="15"/>
    </row>
    <row r="758" ht="63.0" customHeight="1">
      <c r="A758" s="26"/>
      <c r="B758" s="26"/>
      <c r="C758" s="17" t="s">
        <v>151</v>
      </c>
      <c r="D758" s="37" t="s">
        <v>1186</v>
      </c>
      <c r="E758" s="36" t="s">
        <v>632</v>
      </c>
      <c r="F758" s="38"/>
      <c r="I758" s="57"/>
      <c r="J758" s="57"/>
      <c r="M758" s="15"/>
    </row>
    <row r="759" ht="63.0" customHeight="1">
      <c r="A759" s="26"/>
      <c r="B759" s="26"/>
      <c r="C759" s="17" t="s">
        <v>151</v>
      </c>
      <c r="D759" s="37" t="s">
        <v>1187</v>
      </c>
      <c r="E759" s="36" t="s">
        <v>632</v>
      </c>
      <c r="F759" s="38"/>
      <c r="I759" s="57"/>
      <c r="J759" s="57"/>
      <c r="M759" s="15"/>
    </row>
    <row r="760" ht="63.0" customHeight="1">
      <c r="A760" s="26"/>
      <c r="B760" s="26"/>
      <c r="C760" s="17" t="s">
        <v>151</v>
      </c>
      <c r="D760" s="37" t="s">
        <v>1188</v>
      </c>
      <c r="E760" s="36" t="s">
        <v>632</v>
      </c>
      <c r="F760" s="38"/>
      <c r="I760" s="57"/>
      <c r="J760" s="57"/>
      <c r="M760" s="15"/>
    </row>
    <row r="761" ht="63.0" customHeight="1">
      <c r="A761" s="26"/>
      <c r="B761" s="26"/>
      <c r="C761" s="17" t="s">
        <v>151</v>
      </c>
      <c r="D761" s="37" t="s">
        <v>1189</v>
      </c>
      <c r="E761" s="36" t="s">
        <v>632</v>
      </c>
      <c r="F761" s="38"/>
      <c r="I761" s="57"/>
      <c r="J761" s="57"/>
      <c r="M761" s="15"/>
    </row>
    <row r="762" ht="63.0" customHeight="1">
      <c r="A762" s="26"/>
      <c r="B762" s="26"/>
      <c r="C762" s="17" t="s">
        <v>151</v>
      </c>
      <c r="D762" s="37" t="s">
        <v>1190</v>
      </c>
      <c r="E762" s="36" t="s">
        <v>478</v>
      </c>
      <c r="F762" s="38"/>
      <c r="I762" s="57"/>
      <c r="J762" s="57"/>
      <c r="M762" s="15"/>
    </row>
    <row r="763" ht="63.0" customHeight="1">
      <c r="A763" s="26"/>
      <c r="B763" s="26"/>
      <c r="C763" s="17" t="s">
        <v>151</v>
      </c>
      <c r="D763" s="37" t="s">
        <v>1191</v>
      </c>
      <c r="E763" s="36" t="s">
        <v>478</v>
      </c>
      <c r="F763" s="38"/>
      <c r="I763" s="57"/>
      <c r="J763" s="57"/>
      <c r="M763" s="15"/>
    </row>
    <row r="764" ht="63.0" customHeight="1">
      <c r="A764" s="26"/>
      <c r="B764" s="26"/>
      <c r="C764" s="17" t="s">
        <v>151</v>
      </c>
      <c r="D764" s="37" t="s">
        <v>1192</v>
      </c>
      <c r="E764" s="36" t="s">
        <v>478</v>
      </c>
      <c r="F764" s="38"/>
      <c r="I764" s="57"/>
      <c r="J764" s="57"/>
      <c r="M764" s="15"/>
    </row>
    <row r="765" ht="63.0" customHeight="1">
      <c r="A765" s="26"/>
      <c r="B765" s="26"/>
      <c r="C765" s="17" t="s">
        <v>151</v>
      </c>
      <c r="D765" s="37" t="s">
        <v>1193</v>
      </c>
      <c r="E765" s="36" t="s">
        <v>478</v>
      </c>
      <c r="F765" s="38"/>
      <c r="I765" s="57"/>
      <c r="J765" s="57"/>
      <c r="M765" s="15"/>
    </row>
    <row r="766" ht="63.0" customHeight="1">
      <c r="A766" s="26"/>
      <c r="B766" s="26"/>
      <c r="C766" s="17" t="s">
        <v>151</v>
      </c>
      <c r="D766" s="37" t="s">
        <v>1194</v>
      </c>
      <c r="E766" s="36" t="s">
        <v>478</v>
      </c>
      <c r="F766" s="38"/>
      <c r="I766" s="57"/>
      <c r="J766" s="57"/>
      <c r="M766" s="15"/>
    </row>
    <row r="767" ht="63.0" customHeight="1">
      <c r="A767" s="26"/>
      <c r="B767" s="26"/>
      <c r="C767" s="17" t="s">
        <v>151</v>
      </c>
      <c r="D767" s="37" t="s">
        <v>1195</v>
      </c>
      <c r="E767" s="36" t="s">
        <v>478</v>
      </c>
      <c r="F767" s="38"/>
      <c r="I767" s="57"/>
      <c r="J767" s="57"/>
      <c r="M767" s="15"/>
    </row>
    <row r="768" ht="63.0" customHeight="1">
      <c r="A768" s="26"/>
      <c r="B768" s="26"/>
      <c r="C768" s="17" t="s">
        <v>151</v>
      </c>
      <c r="D768" s="37" t="s">
        <v>1196</v>
      </c>
      <c r="E768" s="36" t="s">
        <v>478</v>
      </c>
      <c r="F768" s="38"/>
      <c r="I768" s="57"/>
      <c r="J768" s="57"/>
      <c r="M768" s="15"/>
    </row>
    <row r="769" ht="63.0" customHeight="1">
      <c r="A769" s="26"/>
      <c r="B769" s="26"/>
      <c r="C769" s="17" t="s">
        <v>151</v>
      </c>
      <c r="D769" s="37" t="s">
        <v>877</v>
      </c>
      <c r="E769" s="36" t="s">
        <v>630</v>
      </c>
      <c r="F769" s="38"/>
      <c r="I769" s="57"/>
      <c r="J769" s="57"/>
      <c r="M769" s="15"/>
    </row>
    <row r="770" ht="63.0" customHeight="1">
      <c r="A770" s="26"/>
      <c r="B770" s="26"/>
      <c r="C770" s="17" t="s">
        <v>151</v>
      </c>
      <c r="D770" s="37" t="s">
        <v>1197</v>
      </c>
      <c r="E770" s="36" t="s">
        <v>637</v>
      </c>
      <c r="F770" s="38"/>
      <c r="I770" s="57"/>
      <c r="J770" s="57"/>
      <c r="M770" s="15"/>
    </row>
    <row r="771" ht="63.0" customHeight="1">
      <c r="A771" s="26"/>
      <c r="B771" s="26"/>
      <c r="C771" s="17" t="s">
        <v>151</v>
      </c>
      <c r="D771" s="37" t="s">
        <v>1198</v>
      </c>
      <c r="E771" s="36" t="s">
        <v>637</v>
      </c>
      <c r="F771" s="38"/>
      <c r="I771" s="57"/>
      <c r="J771" s="57"/>
      <c r="M771" s="15"/>
    </row>
    <row r="772" ht="63.0" customHeight="1">
      <c r="A772" s="26"/>
      <c r="B772" s="26"/>
      <c r="C772" s="17" t="s">
        <v>151</v>
      </c>
      <c r="D772" s="37" t="s">
        <v>1199</v>
      </c>
      <c r="E772" s="36" t="s">
        <v>637</v>
      </c>
      <c r="F772" s="38"/>
      <c r="I772" s="57"/>
      <c r="J772" s="57"/>
      <c r="M772" s="15"/>
    </row>
    <row r="773" ht="63.0" customHeight="1">
      <c r="A773" s="26"/>
      <c r="B773" s="26"/>
      <c r="C773" s="17" t="s">
        <v>151</v>
      </c>
      <c r="D773" s="37" t="s">
        <v>1200</v>
      </c>
      <c r="E773" s="36" t="s">
        <v>637</v>
      </c>
      <c r="F773" s="38"/>
      <c r="I773" s="57"/>
      <c r="J773" s="57"/>
      <c r="M773" s="15"/>
    </row>
    <row r="774" ht="63.0" customHeight="1">
      <c r="A774" s="26"/>
      <c r="B774" s="26"/>
      <c r="C774" s="17" t="s">
        <v>151</v>
      </c>
      <c r="D774" s="37" t="s">
        <v>1201</v>
      </c>
      <c r="E774" s="36" t="s">
        <v>637</v>
      </c>
      <c r="F774" s="38"/>
      <c r="I774" s="57"/>
      <c r="J774" s="57"/>
      <c r="M774" s="15"/>
    </row>
    <row r="775" ht="63.0" customHeight="1">
      <c r="A775" s="26"/>
      <c r="B775" s="26"/>
      <c r="C775" s="17" t="s">
        <v>151</v>
      </c>
      <c r="D775" s="37" t="s">
        <v>1202</v>
      </c>
      <c r="E775" s="36" t="s">
        <v>637</v>
      </c>
      <c r="F775" s="38"/>
      <c r="I775" s="57"/>
      <c r="J775" s="57"/>
      <c r="M775" s="15"/>
    </row>
    <row r="776" ht="63.0" customHeight="1">
      <c r="A776" s="26"/>
      <c r="B776" s="26"/>
      <c r="C776" s="17" t="s">
        <v>151</v>
      </c>
      <c r="D776" s="37" t="s">
        <v>1203</v>
      </c>
      <c r="E776" s="36" t="s">
        <v>637</v>
      </c>
      <c r="F776" s="38"/>
      <c r="I776" s="57"/>
      <c r="J776" s="57"/>
      <c r="M776" s="15"/>
    </row>
    <row r="777" ht="63.0" customHeight="1">
      <c r="A777" s="26"/>
      <c r="B777" s="26"/>
      <c r="C777" s="17" t="s">
        <v>151</v>
      </c>
      <c r="D777" s="37" t="s">
        <v>1204</v>
      </c>
      <c r="E777" s="36" t="s">
        <v>637</v>
      </c>
      <c r="F777" s="38"/>
      <c r="I777" s="57"/>
      <c r="J777" s="57"/>
      <c r="M777" s="15"/>
    </row>
    <row r="778" ht="63.0" customHeight="1">
      <c r="A778" s="26"/>
      <c r="B778" s="26"/>
      <c r="C778" s="17" t="s">
        <v>151</v>
      </c>
      <c r="D778" s="37" t="s">
        <v>1205</v>
      </c>
      <c r="E778" s="36" t="s">
        <v>637</v>
      </c>
      <c r="F778" s="38"/>
      <c r="I778" s="57"/>
      <c r="J778" s="57"/>
      <c r="M778" s="15"/>
    </row>
    <row r="779" ht="63.0" customHeight="1">
      <c r="A779" s="26"/>
      <c r="B779" s="26"/>
      <c r="C779" s="17" t="s">
        <v>151</v>
      </c>
      <c r="D779" s="37" t="s">
        <v>1206</v>
      </c>
      <c r="E779" s="36" t="s">
        <v>637</v>
      </c>
      <c r="F779" s="38"/>
      <c r="I779" s="57"/>
      <c r="J779" s="57"/>
      <c r="M779" s="15"/>
    </row>
    <row r="780" ht="63.0" customHeight="1">
      <c r="A780" s="26"/>
      <c r="B780" s="26"/>
      <c r="C780" s="17" t="s">
        <v>151</v>
      </c>
      <c r="D780" s="37" t="s">
        <v>1207</v>
      </c>
      <c r="E780" s="36" t="s">
        <v>632</v>
      </c>
      <c r="F780" s="38"/>
      <c r="I780" s="57"/>
      <c r="J780" s="57"/>
      <c r="M780" s="15"/>
    </row>
    <row r="781" ht="63.0" customHeight="1">
      <c r="A781" s="26"/>
      <c r="B781" s="26"/>
      <c r="C781" s="17" t="s">
        <v>151</v>
      </c>
      <c r="D781" s="37" t="s">
        <v>1208</v>
      </c>
      <c r="E781" s="36" t="s">
        <v>637</v>
      </c>
      <c r="F781" s="38"/>
      <c r="I781" s="57"/>
      <c r="J781" s="57"/>
      <c r="M781" s="15"/>
    </row>
    <row r="782" ht="63.0" customHeight="1">
      <c r="A782" s="26"/>
      <c r="B782" s="26"/>
      <c r="C782" s="17" t="s">
        <v>151</v>
      </c>
      <c r="D782" s="37" t="s">
        <v>1209</v>
      </c>
      <c r="E782" s="36" t="s">
        <v>632</v>
      </c>
      <c r="F782" s="38"/>
      <c r="I782" s="57"/>
      <c r="J782" s="57"/>
      <c r="M782" s="15"/>
    </row>
    <row r="783" ht="63.0" customHeight="1">
      <c r="A783" s="26"/>
      <c r="B783" s="26"/>
      <c r="C783" s="17" t="s">
        <v>151</v>
      </c>
      <c r="D783" s="37" t="s">
        <v>1210</v>
      </c>
      <c r="E783" s="36" t="s">
        <v>632</v>
      </c>
      <c r="F783" s="38"/>
      <c r="I783" s="57"/>
      <c r="J783" s="57"/>
      <c r="M783" s="15"/>
    </row>
    <row r="784" ht="63.0" customHeight="1">
      <c r="A784" s="26"/>
      <c r="B784" s="26"/>
      <c r="C784" s="17" t="s">
        <v>151</v>
      </c>
      <c r="D784" s="37" t="s">
        <v>1211</v>
      </c>
      <c r="E784" s="36" t="s">
        <v>632</v>
      </c>
      <c r="F784" s="38"/>
      <c r="I784" s="57"/>
      <c r="J784" s="57"/>
      <c r="M784" s="15"/>
    </row>
    <row r="785" ht="63.0" customHeight="1">
      <c r="A785" s="26"/>
      <c r="B785" s="26"/>
      <c r="C785" s="17" t="s">
        <v>151</v>
      </c>
      <c r="D785" s="37" t="s">
        <v>1211</v>
      </c>
      <c r="E785" s="36" t="s">
        <v>632</v>
      </c>
      <c r="F785" s="38"/>
      <c r="I785" s="57"/>
      <c r="J785" s="57"/>
      <c r="M785" s="15"/>
    </row>
    <row r="786" ht="63.0" customHeight="1">
      <c r="A786" s="26"/>
      <c r="B786" s="26"/>
      <c r="C786" s="17" t="s">
        <v>151</v>
      </c>
      <c r="D786" s="37" t="s">
        <v>1212</v>
      </c>
      <c r="E786" s="36" t="s">
        <v>637</v>
      </c>
      <c r="F786" s="38"/>
      <c r="I786" s="57"/>
      <c r="J786" s="57"/>
      <c r="M786" s="15"/>
    </row>
    <row r="787" ht="63.0" customHeight="1">
      <c r="A787" s="26"/>
      <c r="B787" s="26"/>
      <c r="C787" s="17" t="s">
        <v>151</v>
      </c>
      <c r="D787" s="37" t="s">
        <v>1213</v>
      </c>
      <c r="E787" s="36" t="s">
        <v>637</v>
      </c>
      <c r="F787" s="38"/>
      <c r="I787" s="57"/>
      <c r="J787" s="57"/>
      <c r="M787" s="15"/>
    </row>
    <row r="788" ht="63.0" customHeight="1">
      <c r="A788" s="26"/>
      <c r="B788" s="26"/>
      <c r="C788" s="17" t="s">
        <v>151</v>
      </c>
      <c r="D788" s="37" t="s">
        <v>629</v>
      </c>
      <c r="E788" s="36" t="s">
        <v>630</v>
      </c>
      <c r="F788" s="38"/>
      <c r="I788" s="57"/>
      <c r="J788" s="57"/>
      <c r="M788" s="15"/>
    </row>
    <row r="789" ht="63.0" customHeight="1">
      <c r="A789" s="26"/>
      <c r="B789" s="26"/>
      <c r="C789" s="17" t="s">
        <v>151</v>
      </c>
      <c r="D789" s="37" t="s">
        <v>1214</v>
      </c>
      <c r="E789" s="36" t="s">
        <v>478</v>
      </c>
      <c r="F789" s="38"/>
      <c r="I789" s="57"/>
      <c r="J789" s="57"/>
      <c r="M789" s="15"/>
    </row>
    <row r="790" ht="63.0" customHeight="1">
      <c r="A790" s="26"/>
      <c r="B790" s="26"/>
      <c r="C790" s="17" t="s">
        <v>151</v>
      </c>
      <c r="D790" s="37" t="s">
        <v>1215</v>
      </c>
      <c r="E790" s="36" t="s">
        <v>478</v>
      </c>
      <c r="F790" s="38"/>
      <c r="I790" s="57"/>
      <c r="J790" s="57"/>
      <c r="M790" s="15"/>
    </row>
    <row r="791" ht="63.0" customHeight="1">
      <c r="A791" s="26"/>
      <c r="B791" s="26"/>
      <c r="C791" s="17" t="s">
        <v>151</v>
      </c>
      <c r="D791" s="37" t="s">
        <v>1190</v>
      </c>
      <c r="E791" s="36" t="s">
        <v>478</v>
      </c>
      <c r="F791" s="38"/>
      <c r="I791" s="57"/>
      <c r="J791" s="57"/>
      <c r="M791" s="15"/>
    </row>
    <row r="792" ht="63.0" customHeight="1">
      <c r="A792" s="26"/>
      <c r="B792" s="26"/>
      <c r="C792" s="17" t="s">
        <v>151</v>
      </c>
      <c r="D792" s="37" t="s">
        <v>1216</v>
      </c>
      <c r="E792" s="36" t="s">
        <v>478</v>
      </c>
      <c r="F792" s="38"/>
      <c r="I792" s="57"/>
      <c r="J792" s="57"/>
      <c r="M792" s="15"/>
    </row>
    <row r="793" ht="63.0" customHeight="1">
      <c r="A793" s="26"/>
      <c r="B793" s="26"/>
      <c r="C793" s="17" t="s">
        <v>151</v>
      </c>
      <c r="D793" s="37" t="s">
        <v>1217</v>
      </c>
      <c r="E793" s="36" t="s">
        <v>478</v>
      </c>
      <c r="F793" s="38"/>
      <c r="I793" s="57"/>
      <c r="J793" s="57"/>
      <c r="M793" s="15"/>
    </row>
    <row r="794" ht="63.0" customHeight="1">
      <c r="A794" s="26"/>
      <c r="B794" s="26"/>
      <c r="C794" s="17" t="s">
        <v>151</v>
      </c>
      <c r="D794" s="37" t="s">
        <v>1218</v>
      </c>
      <c r="E794" s="36" t="s">
        <v>478</v>
      </c>
      <c r="F794" s="38"/>
      <c r="I794" s="57"/>
      <c r="J794" s="57"/>
      <c r="M794" s="15"/>
    </row>
    <row r="795" ht="63.0" customHeight="1">
      <c r="A795" s="26"/>
      <c r="B795" s="26"/>
      <c r="C795" s="17" t="s">
        <v>151</v>
      </c>
      <c r="D795" s="37" t="s">
        <v>1219</v>
      </c>
      <c r="E795" s="36" t="s">
        <v>478</v>
      </c>
      <c r="F795" s="38"/>
      <c r="I795" s="57"/>
      <c r="J795" s="57"/>
      <c r="M795" s="15"/>
    </row>
    <row r="796" ht="63.0" customHeight="1">
      <c r="A796" s="26"/>
      <c r="B796" s="26"/>
      <c r="C796" s="17" t="s">
        <v>151</v>
      </c>
      <c r="D796" s="37" t="s">
        <v>1220</v>
      </c>
      <c r="E796" s="36" t="s">
        <v>478</v>
      </c>
      <c r="F796" s="38"/>
      <c r="I796" s="57"/>
      <c r="J796" s="57"/>
      <c r="M796" s="15"/>
    </row>
    <row r="797" ht="63.0" customHeight="1">
      <c r="A797" s="26"/>
      <c r="B797" s="26"/>
      <c r="C797" s="17" t="s">
        <v>151</v>
      </c>
      <c r="D797" s="37" t="s">
        <v>1196</v>
      </c>
      <c r="E797" s="36" t="s">
        <v>478</v>
      </c>
      <c r="F797" s="38"/>
      <c r="I797" s="57"/>
      <c r="J797" s="57"/>
      <c r="M797" s="15"/>
    </row>
    <row r="798" ht="63.0" customHeight="1">
      <c r="A798" s="26"/>
      <c r="B798" s="26"/>
      <c r="C798" s="17" t="s">
        <v>151</v>
      </c>
      <c r="D798" s="37" t="s">
        <v>1221</v>
      </c>
      <c r="E798" s="36" t="s">
        <v>478</v>
      </c>
      <c r="F798" s="38"/>
      <c r="I798" s="57"/>
      <c r="J798" s="57"/>
      <c r="M798" s="15"/>
    </row>
    <row r="799" ht="63.0" customHeight="1">
      <c r="A799" s="26"/>
      <c r="B799" s="26"/>
      <c r="C799" s="17" t="s">
        <v>151</v>
      </c>
      <c r="D799" s="37" t="s">
        <v>1222</v>
      </c>
      <c r="E799" s="36" t="s">
        <v>478</v>
      </c>
      <c r="F799" s="38"/>
      <c r="I799" s="57"/>
      <c r="J799" s="57"/>
      <c r="M799" s="15"/>
    </row>
    <row r="800" ht="63.0" customHeight="1">
      <c r="A800" s="26"/>
      <c r="B800" s="26"/>
      <c r="C800" s="17" t="s">
        <v>151</v>
      </c>
      <c r="D800" s="37" t="s">
        <v>1223</v>
      </c>
      <c r="E800" s="36" t="s">
        <v>478</v>
      </c>
      <c r="F800" s="38"/>
      <c r="I800" s="57"/>
      <c r="J800" s="57"/>
      <c r="M800" s="15"/>
    </row>
    <row r="801" ht="63.0" customHeight="1">
      <c r="A801" s="26"/>
      <c r="B801" s="26"/>
      <c r="C801" s="17" t="s">
        <v>151</v>
      </c>
      <c r="D801" s="37" t="s">
        <v>1224</v>
      </c>
      <c r="E801" s="36" t="s">
        <v>478</v>
      </c>
      <c r="F801" s="38"/>
      <c r="I801" s="57"/>
      <c r="J801" s="57"/>
      <c r="M801" s="15"/>
    </row>
    <row r="802" ht="63.0" customHeight="1">
      <c r="A802" s="26"/>
      <c r="B802" s="26"/>
      <c r="C802" s="17" t="s">
        <v>151</v>
      </c>
      <c r="D802" s="37" t="s">
        <v>629</v>
      </c>
      <c r="E802" s="36" t="s">
        <v>630</v>
      </c>
      <c r="F802" s="38"/>
      <c r="I802" s="57"/>
      <c r="J802" s="57"/>
      <c r="M802" s="15"/>
    </row>
    <row r="803" ht="63.0" customHeight="1">
      <c r="A803" s="26"/>
      <c r="B803" s="26"/>
      <c r="C803" s="17" t="s">
        <v>151</v>
      </c>
      <c r="D803" s="37" t="s">
        <v>629</v>
      </c>
      <c r="E803" s="36" t="s">
        <v>630</v>
      </c>
      <c r="F803" s="38"/>
      <c r="I803" s="57"/>
      <c r="J803" s="57"/>
      <c r="M803" s="15"/>
    </row>
    <row r="804" ht="63.0" customHeight="1">
      <c r="A804" s="26"/>
      <c r="B804" s="26"/>
      <c r="C804" s="17" t="s">
        <v>151</v>
      </c>
      <c r="D804" s="37" t="s">
        <v>1225</v>
      </c>
      <c r="E804" s="36" t="s">
        <v>632</v>
      </c>
      <c r="F804" s="38"/>
      <c r="I804" s="57"/>
      <c r="J804" s="57"/>
      <c r="M804" s="15"/>
    </row>
    <row r="805" ht="63.0" customHeight="1">
      <c r="A805" s="26"/>
      <c r="B805" s="26"/>
      <c r="C805" s="17" t="s">
        <v>151</v>
      </c>
      <c r="D805" s="37" t="s">
        <v>1226</v>
      </c>
      <c r="E805" s="36" t="s">
        <v>637</v>
      </c>
      <c r="F805" s="38"/>
      <c r="I805" s="57"/>
      <c r="J805" s="57"/>
      <c r="M805" s="15"/>
    </row>
    <row r="806" ht="63.0" customHeight="1">
      <c r="A806" s="26"/>
      <c r="B806" s="26"/>
      <c r="C806" s="17" t="s">
        <v>151</v>
      </c>
      <c r="D806" s="37" t="s">
        <v>1227</v>
      </c>
      <c r="E806" s="36" t="s">
        <v>637</v>
      </c>
      <c r="F806" s="38"/>
      <c r="I806" s="57"/>
      <c r="J806" s="57"/>
      <c r="M806" s="15"/>
    </row>
    <row r="807" ht="63.0" customHeight="1">
      <c r="A807" s="26"/>
      <c r="B807" s="26"/>
      <c r="C807" s="17" t="s">
        <v>151</v>
      </c>
      <c r="D807" s="37" t="s">
        <v>1228</v>
      </c>
      <c r="E807" s="36" t="s">
        <v>637</v>
      </c>
      <c r="F807" s="38"/>
      <c r="I807" s="57"/>
      <c r="J807" s="57"/>
      <c r="M807" s="15"/>
    </row>
    <row r="808" ht="63.0" customHeight="1">
      <c r="A808" s="26"/>
      <c r="B808" s="26"/>
      <c r="C808" s="17" t="s">
        <v>151</v>
      </c>
      <c r="D808" s="37" t="s">
        <v>1229</v>
      </c>
      <c r="E808" s="36" t="s">
        <v>632</v>
      </c>
      <c r="F808" s="38"/>
      <c r="I808" s="57"/>
      <c r="J808" s="57"/>
      <c r="M808" s="15"/>
    </row>
    <row r="809" ht="63.0" customHeight="1">
      <c r="A809" s="26"/>
      <c r="B809" s="26"/>
      <c r="C809" s="17" t="s">
        <v>151</v>
      </c>
      <c r="D809" s="37" t="s">
        <v>1230</v>
      </c>
      <c r="E809" s="36" t="s">
        <v>632</v>
      </c>
      <c r="F809" s="38"/>
      <c r="I809" s="57"/>
      <c r="J809" s="57"/>
      <c r="M809" s="15"/>
    </row>
    <row r="810" ht="63.0" customHeight="1">
      <c r="A810" s="26"/>
      <c r="B810" s="26"/>
      <c r="C810" s="17" t="s">
        <v>151</v>
      </c>
      <c r="D810" s="37" t="s">
        <v>1230</v>
      </c>
      <c r="E810" s="36" t="s">
        <v>632</v>
      </c>
      <c r="F810" s="38"/>
      <c r="I810" s="57"/>
      <c r="J810" s="57"/>
      <c r="M810" s="15"/>
    </row>
    <row r="811" ht="63.0" customHeight="1">
      <c r="A811" s="26"/>
      <c r="B811" s="26"/>
      <c r="C811" s="17" t="s">
        <v>151</v>
      </c>
      <c r="D811" s="37" t="s">
        <v>1231</v>
      </c>
      <c r="E811" s="36" t="s">
        <v>632</v>
      </c>
      <c r="F811" s="38"/>
      <c r="I811" s="57"/>
      <c r="J811" s="57"/>
      <c r="M811" s="15"/>
    </row>
    <row r="812" ht="63.0" customHeight="1">
      <c r="A812" s="26"/>
      <c r="B812" s="26"/>
      <c r="C812" s="17" t="s">
        <v>151</v>
      </c>
      <c r="D812" s="37" t="s">
        <v>1232</v>
      </c>
      <c r="E812" s="36" t="s">
        <v>632</v>
      </c>
      <c r="F812" s="38"/>
      <c r="I812" s="57"/>
      <c r="J812" s="57"/>
      <c r="M812" s="15"/>
    </row>
    <row r="813" ht="63.0" customHeight="1">
      <c r="A813" s="26"/>
      <c r="B813" s="26"/>
      <c r="C813" s="17" t="s">
        <v>151</v>
      </c>
      <c r="D813" s="37" t="s">
        <v>1232</v>
      </c>
      <c r="E813" s="36" t="s">
        <v>632</v>
      </c>
      <c r="F813" s="38"/>
      <c r="I813" s="57"/>
      <c r="J813" s="57"/>
      <c r="M813" s="15"/>
    </row>
    <row r="814" ht="63.0" customHeight="1">
      <c r="A814" s="26"/>
      <c r="B814" s="26"/>
      <c r="C814" s="17" t="s">
        <v>151</v>
      </c>
      <c r="D814" s="37" t="s">
        <v>1233</v>
      </c>
      <c r="E814" s="36" t="s">
        <v>632</v>
      </c>
      <c r="F814" s="38"/>
      <c r="I814" s="57"/>
      <c r="J814" s="57"/>
      <c r="M814" s="15"/>
    </row>
    <row r="815" ht="63.0" customHeight="1">
      <c r="A815" s="26"/>
      <c r="B815" s="26"/>
      <c r="C815" s="17" t="s">
        <v>151</v>
      </c>
      <c r="D815" s="37" t="s">
        <v>1234</v>
      </c>
      <c r="E815" s="36" t="s">
        <v>632</v>
      </c>
      <c r="F815" s="38"/>
      <c r="I815" s="57"/>
      <c r="J815" s="57"/>
      <c r="M815" s="15"/>
    </row>
    <row r="816" ht="63.0" customHeight="1">
      <c r="A816" s="26"/>
      <c r="B816" s="26"/>
      <c r="C816" s="17" t="s">
        <v>151</v>
      </c>
      <c r="D816" s="37" t="s">
        <v>1235</v>
      </c>
      <c r="E816" s="36" t="s">
        <v>632</v>
      </c>
      <c r="F816" s="38"/>
      <c r="I816" s="57"/>
      <c r="J816" s="57"/>
      <c r="M816" s="15"/>
    </row>
    <row r="817" ht="63.0" customHeight="1">
      <c r="A817" s="26"/>
      <c r="B817" s="26"/>
      <c r="C817" s="17" t="s">
        <v>151</v>
      </c>
      <c r="D817" s="37" t="s">
        <v>1236</v>
      </c>
      <c r="E817" s="36" t="s">
        <v>632</v>
      </c>
      <c r="F817" s="38"/>
      <c r="I817" s="57"/>
      <c r="J817" s="57"/>
      <c r="M817" s="15"/>
    </row>
    <row r="818" ht="63.0" customHeight="1">
      <c r="A818" s="26"/>
      <c r="B818" s="26"/>
      <c r="C818" s="17" t="s">
        <v>151</v>
      </c>
      <c r="D818" s="37" t="s">
        <v>1237</v>
      </c>
      <c r="E818" s="36" t="s">
        <v>632</v>
      </c>
      <c r="F818" s="38"/>
      <c r="I818" s="57"/>
      <c r="J818" s="57"/>
      <c r="M818" s="15"/>
    </row>
    <row r="819" ht="63.0" customHeight="1">
      <c r="A819" s="26"/>
      <c r="B819" s="26"/>
      <c r="C819" s="17" t="s">
        <v>151</v>
      </c>
      <c r="D819" s="37" t="s">
        <v>1238</v>
      </c>
      <c r="E819" s="36" t="s">
        <v>632</v>
      </c>
      <c r="F819" s="38"/>
      <c r="I819" s="57"/>
      <c r="J819" s="57"/>
      <c r="M819" s="15"/>
    </row>
    <row r="820" ht="63.0" customHeight="1">
      <c r="A820" s="26"/>
      <c r="B820" s="26"/>
      <c r="C820" s="17" t="s">
        <v>151</v>
      </c>
      <c r="D820" s="37" t="s">
        <v>1239</v>
      </c>
      <c r="E820" s="36" t="s">
        <v>632</v>
      </c>
      <c r="F820" s="38"/>
      <c r="I820" s="57"/>
      <c r="J820" s="57"/>
      <c r="M820" s="15"/>
    </row>
    <row r="821" ht="63.0" customHeight="1">
      <c r="A821" s="26"/>
      <c r="B821" s="26"/>
      <c r="C821" s="17" t="s">
        <v>151</v>
      </c>
      <c r="D821" s="37" t="s">
        <v>1240</v>
      </c>
      <c r="E821" s="36" t="s">
        <v>632</v>
      </c>
      <c r="F821" s="38"/>
      <c r="I821" s="57"/>
      <c r="J821" s="57"/>
      <c r="M821" s="15"/>
    </row>
    <row r="822" ht="63.0" customHeight="1">
      <c r="A822" s="26"/>
      <c r="B822" s="26"/>
      <c r="C822" s="17" t="s">
        <v>151</v>
      </c>
      <c r="D822" s="37" t="s">
        <v>1241</v>
      </c>
      <c r="E822" s="36" t="s">
        <v>632</v>
      </c>
      <c r="F822" s="38"/>
      <c r="I822" s="57"/>
      <c r="J822" s="57"/>
      <c r="M822" s="15"/>
    </row>
    <row r="823" ht="63.0" customHeight="1">
      <c r="A823" s="26"/>
      <c r="B823" s="26"/>
      <c r="C823" s="17" t="s">
        <v>151</v>
      </c>
      <c r="D823" s="37" t="s">
        <v>1242</v>
      </c>
      <c r="E823" s="36" t="s">
        <v>632</v>
      </c>
      <c r="F823" s="38"/>
      <c r="I823" s="57"/>
      <c r="J823" s="57"/>
      <c r="M823" s="15"/>
    </row>
    <row r="824" ht="63.0" customHeight="1">
      <c r="A824" s="26"/>
      <c r="B824" s="26"/>
      <c r="C824" s="17" t="s">
        <v>151</v>
      </c>
      <c r="D824" s="37" t="s">
        <v>1243</v>
      </c>
      <c r="E824" s="36" t="s">
        <v>632</v>
      </c>
      <c r="F824" s="38"/>
      <c r="I824" s="57"/>
      <c r="J824" s="57"/>
      <c r="M824" s="15"/>
    </row>
    <row r="825" ht="63.0" customHeight="1">
      <c r="A825" s="26"/>
      <c r="B825" s="26"/>
      <c r="C825" s="17" t="s">
        <v>151</v>
      </c>
      <c r="D825" s="37" t="s">
        <v>1244</v>
      </c>
      <c r="E825" s="36" t="s">
        <v>637</v>
      </c>
      <c r="F825" s="38"/>
      <c r="I825" s="57"/>
      <c r="J825" s="57"/>
      <c r="M825" s="15"/>
    </row>
    <row r="826" ht="63.0" customHeight="1">
      <c r="A826" s="26"/>
      <c r="B826" s="26"/>
      <c r="C826" s="17" t="s">
        <v>151</v>
      </c>
      <c r="D826" s="37" t="s">
        <v>1245</v>
      </c>
      <c r="E826" s="36" t="s">
        <v>637</v>
      </c>
      <c r="F826" s="38"/>
      <c r="I826" s="57"/>
      <c r="J826" s="57"/>
      <c r="M826" s="15"/>
    </row>
    <row r="827" ht="63.0" customHeight="1">
      <c r="A827" s="26"/>
      <c r="B827" s="26"/>
      <c r="C827" s="17" t="s">
        <v>151</v>
      </c>
      <c r="D827" s="37" t="s">
        <v>1246</v>
      </c>
      <c r="E827" s="36" t="s">
        <v>637</v>
      </c>
      <c r="F827" s="38"/>
      <c r="I827" s="57"/>
      <c r="J827" s="57"/>
      <c r="M827" s="15"/>
    </row>
    <row r="828" ht="63.0" customHeight="1">
      <c r="A828" s="26"/>
      <c r="B828" s="26"/>
      <c r="C828" s="17" t="s">
        <v>151</v>
      </c>
      <c r="D828" s="37" t="s">
        <v>1247</v>
      </c>
      <c r="E828" s="36" t="s">
        <v>637</v>
      </c>
      <c r="F828" s="38"/>
      <c r="I828" s="57"/>
      <c r="J828" s="57"/>
      <c r="M828" s="15"/>
    </row>
    <row r="829" ht="63.0" customHeight="1">
      <c r="A829" s="26"/>
      <c r="B829" s="26"/>
      <c r="C829" s="17" t="s">
        <v>151</v>
      </c>
      <c r="D829" s="37" t="s">
        <v>1248</v>
      </c>
      <c r="E829" s="36" t="s">
        <v>632</v>
      </c>
      <c r="F829" s="38"/>
      <c r="I829" s="57"/>
      <c r="J829" s="57"/>
      <c r="M829" s="15"/>
    </row>
    <row r="830" ht="63.0" customHeight="1">
      <c r="A830" s="26"/>
      <c r="B830" s="26"/>
      <c r="C830" s="17" t="s">
        <v>151</v>
      </c>
      <c r="D830" s="37" t="s">
        <v>877</v>
      </c>
      <c r="E830" s="36" t="s">
        <v>630</v>
      </c>
      <c r="F830" s="38"/>
      <c r="I830" s="57"/>
      <c r="J830" s="57"/>
      <c r="M830" s="15"/>
    </row>
    <row r="831" ht="63.0" customHeight="1">
      <c r="A831" s="26"/>
      <c r="B831" s="26"/>
      <c r="C831" s="17" t="s">
        <v>151</v>
      </c>
      <c r="D831" s="37" t="s">
        <v>1249</v>
      </c>
      <c r="E831" s="36" t="s">
        <v>632</v>
      </c>
      <c r="F831" s="38"/>
      <c r="I831" s="57"/>
      <c r="J831" s="57"/>
      <c r="M831" s="15"/>
    </row>
    <row r="832" ht="63.0" customHeight="1">
      <c r="A832" s="26"/>
      <c r="B832" s="26"/>
      <c r="C832" s="17" t="s">
        <v>151</v>
      </c>
      <c r="D832" s="37" t="s">
        <v>1250</v>
      </c>
      <c r="E832" s="36" t="s">
        <v>632</v>
      </c>
      <c r="F832" s="38"/>
      <c r="I832" s="57"/>
      <c r="J832" s="57"/>
      <c r="M832" s="15"/>
    </row>
    <row r="833" ht="63.0" customHeight="1">
      <c r="A833" s="26"/>
      <c r="B833" s="26"/>
      <c r="C833" s="17" t="s">
        <v>151</v>
      </c>
      <c r="D833" s="37" t="s">
        <v>1251</v>
      </c>
      <c r="E833" s="36" t="s">
        <v>632</v>
      </c>
      <c r="F833" s="38"/>
      <c r="I833" s="57"/>
      <c r="J833" s="57"/>
      <c r="M833" s="15"/>
    </row>
    <row r="834" ht="63.0" customHeight="1">
      <c r="A834" s="26"/>
      <c r="B834" s="26"/>
      <c r="C834" s="17" t="s">
        <v>151</v>
      </c>
      <c r="D834" s="37" t="s">
        <v>1252</v>
      </c>
      <c r="E834" s="36" t="s">
        <v>632</v>
      </c>
      <c r="F834" s="38"/>
      <c r="I834" s="57"/>
      <c r="J834" s="57"/>
      <c r="M834" s="15"/>
    </row>
    <row r="835" ht="63.0" customHeight="1">
      <c r="A835" s="26"/>
      <c r="B835" s="26"/>
      <c r="C835" s="17" t="s">
        <v>151</v>
      </c>
      <c r="D835" s="37" t="s">
        <v>1253</v>
      </c>
      <c r="E835" s="36" t="s">
        <v>478</v>
      </c>
      <c r="F835" s="38"/>
      <c r="I835" s="57"/>
      <c r="J835" s="57"/>
      <c r="M835" s="15"/>
    </row>
    <row r="836" ht="63.0" customHeight="1">
      <c r="A836" s="26"/>
      <c r="B836" s="26"/>
      <c r="C836" s="17" t="s">
        <v>151</v>
      </c>
      <c r="D836" s="37" t="s">
        <v>1216</v>
      </c>
      <c r="E836" s="36" t="s">
        <v>478</v>
      </c>
      <c r="F836" s="38"/>
      <c r="I836" s="57"/>
      <c r="J836" s="57"/>
      <c r="M836" s="15"/>
    </row>
    <row r="837" ht="63.0" customHeight="1">
      <c r="A837" s="26"/>
      <c r="B837" s="26"/>
      <c r="C837" s="17" t="s">
        <v>151</v>
      </c>
      <c r="D837" s="37" t="s">
        <v>1217</v>
      </c>
      <c r="E837" s="36" t="s">
        <v>478</v>
      </c>
      <c r="F837" s="38"/>
      <c r="I837" s="57"/>
      <c r="J837" s="57"/>
      <c r="M837" s="15"/>
    </row>
    <row r="838" ht="63.0" customHeight="1">
      <c r="A838" s="26"/>
      <c r="B838" s="26"/>
      <c r="C838" s="17" t="s">
        <v>151</v>
      </c>
      <c r="D838" s="37" t="s">
        <v>1254</v>
      </c>
      <c r="E838" s="36" t="s">
        <v>478</v>
      </c>
      <c r="F838" s="38"/>
      <c r="I838" s="57"/>
      <c r="J838" s="57"/>
      <c r="M838" s="15"/>
    </row>
    <row r="839" ht="63.0" customHeight="1">
      <c r="A839" s="26"/>
      <c r="B839" s="26"/>
      <c r="C839" s="17" t="s">
        <v>151</v>
      </c>
      <c r="D839" s="37" t="s">
        <v>1255</v>
      </c>
      <c r="E839" s="36" t="s">
        <v>478</v>
      </c>
      <c r="F839" s="38"/>
      <c r="I839" s="57"/>
      <c r="J839" s="57"/>
      <c r="M839" s="15"/>
    </row>
    <row r="840" ht="63.0" customHeight="1">
      <c r="A840" s="26"/>
      <c r="B840" s="26"/>
      <c r="C840" s="17" t="s">
        <v>151</v>
      </c>
      <c r="D840" s="37" t="s">
        <v>1256</v>
      </c>
      <c r="E840" s="36" t="s">
        <v>478</v>
      </c>
      <c r="F840" s="38"/>
      <c r="I840" s="57"/>
      <c r="J840" s="57"/>
      <c r="M840" s="15"/>
    </row>
    <row r="841" ht="63.0" customHeight="1">
      <c r="A841" s="26"/>
      <c r="B841" s="26"/>
      <c r="C841" s="17" t="s">
        <v>151</v>
      </c>
      <c r="D841" s="37" t="s">
        <v>1218</v>
      </c>
      <c r="E841" s="36" t="s">
        <v>478</v>
      </c>
      <c r="F841" s="38"/>
      <c r="I841" s="57"/>
      <c r="J841" s="57"/>
      <c r="M841" s="15"/>
    </row>
    <row r="842" ht="63.0" customHeight="1">
      <c r="A842" s="26"/>
      <c r="B842" s="26"/>
      <c r="C842" s="17" t="s">
        <v>151</v>
      </c>
      <c r="D842" s="37" t="s">
        <v>1257</v>
      </c>
      <c r="E842" s="36" t="s">
        <v>478</v>
      </c>
      <c r="F842" s="38"/>
      <c r="I842" s="57"/>
      <c r="J842" s="57"/>
      <c r="M842" s="15"/>
    </row>
    <row r="843" ht="63.0" customHeight="1">
      <c r="A843" s="26"/>
      <c r="B843" s="26"/>
      <c r="C843" s="17" t="s">
        <v>151</v>
      </c>
      <c r="D843" s="37" t="s">
        <v>1258</v>
      </c>
      <c r="E843" s="36" t="s">
        <v>478</v>
      </c>
      <c r="F843" s="38"/>
      <c r="I843" s="57"/>
      <c r="J843" s="57"/>
      <c r="M843" s="15"/>
    </row>
    <row r="844" ht="63.0" customHeight="1">
      <c r="A844" s="26"/>
      <c r="B844" s="26"/>
      <c r="C844" s="17" t="s">
        <v>151</v>
      </c>
      <c r="D844" s="37" t="s">
        <v>1219</v>
      </c>
      <c r="E844" s="36" t="s">
        <v>478</v>
      </c>
      <c r="F844" s="38"/>
      <c r="I844" s="57"/>
      <c r="J844" s="57"/>
      <c r="M844" s="15"/>
    </row>
    <row r="845" ht="63.0" customHeight="1">
      <c r="A845" s="26"/>
      <c r="B845" s="26"/>
      <c r="C845" s="17" t="s">
        <v>151</v>
      </c>
      <c r="D845" s="37" t="s">
        <v>1259</v>
      </c>
      <c r="E845" s="36" t="s">
        <v>478</v>
      </c>
      <c r="F845" s="38"/>
      <c r="I845" s="57"/>
      <c r="J845" s="57"/>
      <c r="M845" s="15"/>
    </row>
    <row r="846" ht="63.0" customHeight="1">
      <c r="A846" s="26"/>
      <c r="B846" s="26"/>
      <c r="C846" s="17" t="s">
        <v>151</v>
      </c>
      <c r="D846" s="37" t="s">
        <v>1260</v>
      </c>
      <c r="E846" s="36" t="s">
        <v>478</v>
      </c>
      <c r="F846" s="38"/>
      <c r="I846" s="57"/>
      <c r="J846" s="57"/>
      <c r="M846" s="15"/>
    </row>
    <row r="847" ht="63.0" customHeight="1">
      <c r="A847" s="26"/>
      <c r="B847" s="26"/>
      <c r="C847" s="17" t="s">
        <v>151</v>
      </c>
      <c r="D847" s="37" t="s">
        <v>1261</v>
      </c>
      <c r="E847" s="36" t="s">
        <v>478</v>
      </c>
      <c r="F847" s="38"/>
      <c r="I847" s="57"/>
      <c r="J847" s="57"/>
      <c r="M847" s="15"/>
    </row>
    <row r="848" ht="63.0" customHeight="1">
      <c r="A848" s="26"/>
      <c r="B848" s="26"/>
      <c r="C848" s="17" t="s">
        <v>151</v>
      </c>
      <c r="D848" s="37" t="s">
        <v>1262</v>
      </c>
      <c r="E848" s="36" t="s">
        <v>478</v>
      </c>
      <c r="F848" s="38"/>
      <c r="I848" s="57"/>
      <c r="J848" s="57"/>
      <c r="M848" s="15"/>
    </row>
    <row r="849" ht="63.0" customHeight="1">
      <c r="A849" s="26"/>
      <c r="B849" s="26"/>
      <c r="C849" s="17" t="s">
        <v>151</v>
      </c>
      <c r="D849" s="37" t="s">
        <v>1263</v>
      </c>
      <c r="E849" s="36" t="s">
        <v>478</v>
      </c>
      <c r="F849" s="38"/>
      <c r="I849" s="57"/>
      <c r="J849" s="57"/>
      <c r="M849" s="15"/>
    </row>
    <row r="850" ht="63.0" customHeight="1">
      <c r="A850" s="26"/>
      <c r="B850" s="26"/>
      <c r="C850" s="17" t="s">
        <v>151</v>
      </c>
      <c r="D850" s="37" t="s">
        <v>1264</v>
      </c>
      <c r="E850" s="36" t="s">
        <v>478</v>
      </c>
      <c r="F850" s="38"/>
      <c r="I850" s="57"/>
      <c r="J850" s="57"/>
      <c r="M850" s="15"/>
    </row>
    <row r="851" ht="63.0" customHeight="1">
      <c r="A851" s="26"/>
      <c r="B851" s="26"/>
      <c r="C851" s="17" t="s">
        <v>151</v>
      </c>
      <c r="D851" s="37" t="s">
        <v>1220</v>
      </c>
      <c r="E851" s="36" t="s">
        <v>478</v>
      </c>
      <c r="F851" s="38"/>
      <c r="I851" s="57"/>
      <c r="J851" s="57"/>
      <c r="M851" s="15"/>
    </row>
    <row r="852" ht="63.0" customHeight="1">
      <c r="A852" s="26"/>
      <c r="B852" s="26"/>
      <c r="C852" s="17" t="s">
        <v>151</v>
      </c>
      <c r="D852" s="37" t="s">
        <v>1265</v>
      </c>
      <c r="E852" s="36" t="s">
        <v>478</v>
      </c>
      <c r="F852" s="38"/>
      <c r="I852" s="57"/>
      <c r="J852" s="57"/>
      <c r="M852" s="15"/>
    </row>
    <row r="853" ht="63.0" customHeight="1">
      <c r="A853" s="26"/>
      <c r="B853" s="26"/>
      <c r="C853" s="17" t="s">
        <v>151</v>
      </c>
      <c r="D853" s="37" t="s">
        <v>1266</v>
      </c>
      <c r="E853" s="36" t="s">
        <v>478</v>
      </c>
      <c r="F853" s="38"/>
      <c r="I853" s="57"/>
      <c r="J853" s="57"/>
      <c r="M853" s="15"/>
    </row>
    <row r="854" ht="63.0" customHeight="1">
      <c r="A854" s="26"/>
      <c r="B854" s="26"/>
      <c r="C854" s="17" t="s">
        <v>151</v>
      </c>
      <c r="D854" s="37" t="s">
        <v>1267</v>
      </c>
      <c r="E854" s="36" t="s">
        <v>478</v>
      </c>
      <c r="F854" s="38"/>
      <c r="I854" s="57"/>
      <c r="J854" s="57"/>
      <c r="M854" s="15"/>
    </row>
    <row r="855" ht="63.0" customHeight="1">
      <c r="A855" s="26"/>
      <c r="B855" s="26"/>
      <c r="C855" s="17" t="s">
        <v>151</v>
      </c>
      <c r="D855" s="37" t="s">
        <v>1221</v>
      </c>
      <c r="E855" s="36" t="s">
        <v>478</v>
      </c>
      <c r="F855" s="38"/>
      <c r="I855" s="57"/>
      <c r="J855" s="57"/>
      <c r="M855" s="15"/>
    </row>
    <row r="856" ht="63.0" customHeight="1">
      <c r="A856" s="26"/>
      <c r="B856" s="26"/>
      <c r="C856" s="17" t="s">
        <v>151</v>
      </c>
      <c r="D856" s="37" t="s">
        <v>1268</v>
      </c>
      <c r="E856" s="36" t="s">
        <v>478</v>
      </c>
      <c r="F856" s="38"/>
      <c r="I856" s="57"/>
      <c r="J856" s="57"/>
      <c r="M856" s="15"/>
    </row>
    <row r="857" ht="63.0" customHeight="1">
      <c r="A857" s="26"/>
      <c r="B857" s="26"/>
      <c r="C857" s="17" t="s">
        <v>151</v>
      </c>
      <c r="D857" s="37" t="s">
        <v>1222</v>
      </c>
      <c r="E857" s="36" t="s">
        <v>478</v>
      </c>
      <c r="F857" s="38"/>
      <c r="I857" s="57"/>
      <c r="J857" s="57"/>
      <c r="M857" s="15"/>
    </row>
    <row r="858" ht="63.0" customHeight="1">
      <c r="A858" s="26"/>
      <c r="B858" s="26"/>
      <c r="C858" s="17" t="s">
        <v>151</v>
      </c>
      <c r="D858" s="37" t="s">
        <v>1269</v>
      </c>
      <c r="E858" s="36" t="s">
        <v>478</v>
      </c>
      <c r="F858" s="38"/>
      <c r="I858" s="57"/>
      <c r="J858" s="57"/>
      <c r="M858" s="15"/>
    </row>
    <row r="859" ht="63.0" customHeight="1">
      <c r="A859" s="26"/>
      <c r="B859" s="26"/>
      <c r="C859" s="17" t="s">
        <v>151</v>
      </c>
      <c r="D859" s="37" t="s">
        <v>1270</v>
      </c>
      <c r="E859" s="36" t="s">
        <v>478</v>
      </c>
      <c r="F859" s="38"/>
      <c r="I859" s="57"/>
      <c r="J859" s="57"/>
      <c r="M859" s="15"/>
    </row>
    <row r="860" ht="63.0" customHeight="1">
      <c r="A860" s="26"/>
      <c r="B860" s="26"/>
      <c r="C860" s="17" t="s">
        <v>151</v>
      </c>
      <c r="D860" s="37" t="s">
        <v>1271</v>
      </c>
      <c r="E860" s="36" t="s">
        <v>478</v>
      </c>
      <c r="F860" s="38"/>
      <c r="I860" s="57"/>
      <c r="J860" s="57"/>
      <c r="M860" s="15"/>
    </row>
    <row r="861" ht="63.0" customHeight="1">
      <c r="A861" s="26"/>
      <c r="B861" s="26"/>
      <c r="C861" s="17" t="s">
        <v>151</v>
      </c>
      <c r="D861" s="37" t="s">
        <v>1272</v>
      </c>
      <c r="E861" s="36" t="s">
        <v>478</v>
      </c>
      <c r="F861" s="38"/>
      <c r="I861" s="57"/>
      <c r="J861" s="57"/>
      <c r="M861" s="15"/>
    </row>
    <row r="862" ht="63.0" customHeight="1">
      <c r="A862" s="26"/>
      <c r="B862" s="26"/>
      <c r="C862" s="17" t="s">
        <v>151</v>
      </c>
      <c r="D862" s="37" t="s">
        <v>1223</v>
      </c>
      <c r="E862" s="36" t="s">
        <v>478</v>
      </c>
      <c r="F862" s="38"/>
      <c r="I862" s="57"/>
      <c r="J862" s="57"/>
      <c r="M862" s="15"/>
    </row>
    <row r="863" ht="63.0" customHeight="1">
      <c r="A863" s="26"/>
      <c r="B863" s="26"/>
      <c r="C863" s="17" t="s">
        <v>151</v>
      </c>
      <c r="D863" s="37" t="s">
        <v>1273</v>
      </c>
      <c r="E863" s="36" t="s">
        <v>478</v>
      </c>
      <c r="F863" s="38"/>
      <c r="I863" s="57"/>
      <c r="J863" s="57"/>
      <c r="M863" s="15"/>
    </row>
    <row r="864" ht="63.0" customHeight="1">
      <c r="A864" s="26"/>
      <c r="B864" s="26"/>
      <c r="C864" s="17" t="s">
        <v>151</v>
      </c>
      <c r="D864" s="37" t="s">
        <v>1224</v>
      </c>
      <c r="E864" s="36" t="s">
        <v>478</v>
      </c>
      <c r="F864" s="38"/>
      <c r="I864" s="57"/>
      <c r="J864" s="57"/>
      <c r="M864" s="15"/>
    </row>
    <row r="865" ht="63.0" customHeight="1">
      <c r="A865" s="26"/>
      <c r="B865" s="26"/>
      <c r="C865" s="17" t="s">
        <v>151</v>
      </c>
      <c r="D865" s="37" t="s">
        <v>1274</v>
      </c>
      <c r="E865" s="36" t="s">
        <v>478</v>
      </c>
      <c r="F865" s="38"/>
      <c r="I865" s="57"/>
      <c r="J865" s="57"/>
      <c r="M865" s="15"/>
    </row>
    <row r="866" ht="63.0" customHeight="1">
      <c r="A866" s="26"/>
      <c r="B866" s="26"/>
      <c r="C866" s="17" t="s">
        <v>151</v>
      </c>
      <c r="D866" s="37" t="s">
        <v>1275</v>
      </c>
      <c r="E866" s="36" t="s">
        <v>632</v>
      </c>
      <c r="F866" s="38"/>
      <c r="I866" s="57"/>
      <c r="J866" s="57"/>
      <c r="M866" s="15"/>
    </row>
    <row r="867" ht="63.0" customHeight="1">
      <c r="A867" s="26"/>
      <c r="B867" s="26"/>
      <c r="C867" s="17" t="s">
        <v>151</v>
      </c>
      <c r="D867" s="37" t="s">
        <v>1275</v>
      </c>
      <c r="E867" s="36" t="s">
        <v>632</v>
      </c>
      <c r="F867" s="38"/>
      <c r="I867" s="57"/>
      <c r="J867" s="57"/>
      <c r="M867" s="15"/>
    </row>
    <row r="868" ht="63.0" customHeight="1">
      <c r="A868" s="26"/>
      <c r="B868" s="26"/>
      <c r="C868" s="17" t="s">
        <v>151</v>
      </c>
      <c r="D868" s="37" t="s">
        <v>1276</v>
      </c>
      <c r="E868" s="36" t="s">
        <v>632</v>
      </c>
      <c r="F868" s="38"/>
      <c r="I868" s="57"/>
      <c r="J868" s="57"/>
      <c r="M868" s="15"/>
    </row>
    <row r="869" ht="63.0" customHeight="1">
      <c r="A869" s="26"/>
      <c r="B869" s="26"/>
      <c r="C869" s="17" t="s">
        <v>151</v>
      </c>
      <c r="D869" s="37" t="s">
        <v>1277</v>
      </c>
      <c r="E869" s="36" t="s">
        <v>945</v>
      </c>
      <c r="F869" s="38"/>
      <c r="I869" s="57"/>
      <c r="J869" s="57"/>
      <c r="M869" s="15"/>
    </row>
    <row r="870" ht="63.0" customHeight="1">
      <c r="A870" s="26"/>
      <c r="B870" s="26"/>
      <c r="C870" s="17" t="s">
        <v>151</v>
      </c>
      <c r="D870" s="37" t="s">
        <v>1278</v>
      </c>
      <c r="E870" s="36" t="s">
        <v>945</v>
      </c>
      <c r="F870" s="38"/>
      <c r="I870" s="57"/>
      <c r="J870" s="57"/>
      <c r="M870" s="15"/>
    </row>
    <row r="871" ht="63.0" customHeight="1">
      <c r="A871" s="26"/>
      <c r="B871" s="26"/>
      <c r="C871" s="17" t="s">
        <v>151</v>
      </c>
      <c r="D871" s="37" t="s">
        <v>1279</v>
      </c>
      <c r="E871" s="36" t="s">
        <v>637</v>
      </c>
      <c r="F871" s="38"/>
      <c r="I871" s="57"/>
      <c r="J871" s="57"/>
      <c r="M871" s="15"/>
    </row>
    <row r="872" ht="63.0" customHeight="1">
      <c r="A872" s="26"/>
      <c r="B872" s="26"/>
      <c r="C872" s="17" t="s">
        <v>151</v>
      </c>
      <c r="D872" s="37" t="s">
        <v>1280</v>
      </c>
      <c r="E872" s="36" t="s">
        <v>637</v>
      </c>
      <c r="F872" s="38"/>
      <c r="I872" s="57"/>
      <c r="J872" s="57"/>
      <c r="M872" s="15"/>
    </row>
    <row r="873" ht="63.0" customHeight="1">
      <c r="A873" s="26"/>
      <c r="B873" s="26"/>
      <c r="C873" s="17" t="s">
        <v>151</v>
      </c>
      <c r="D873" s="37" t="s">
        <v>1281</v>
      </c>
      <c r="E873" s="36" t="s">
        <v>637</v>
      </c>
      <c r="F873" s="38"/>
      <c r="I873" s="57"/>
      <c r="J873" s="57"/>
      <c r="M873" s="15"/>
    </row>
    <row r="874" ht="63.0" customHeight="1">
      <c r="A874" s="26"/>
      <c r="B874" s="26"/>
      <c r="C874" s="17" t="s">
        <v>151</v>
      </c>
      <c r="D874" s="37" t="s">
        <v>1282</v>
      </c>
      <c r="E874" s="36" t="s">
        <v>632</v>
      </c>
      <c r="F874" s="38"/>
      <c r="I874" s="57"/>
      <c r="J874" s="57"/>
      <c r="M874" s="15"/>
    </row>
    <row r="875" ht="63.0" customHeight="1">
      <c r="A875" s="26"/>
      <c r="B875" s="26"/>
      <c r="C875" s="17" t="s">
        <v>151</v>
      </c>
      <c r="D875" s="37" t="s">
        <v>1283</v>
      </c>
      <c r="E875" s="36" t="s">
        <v>637</v>
      </c>
      <c r="F875" s="38"/>
      <c r="I875" s="57"/>
      <c r="J875" s="57"/>
      <c r="M875" s="15"/>
    </row>
    <row r="876" ht="63.0" customHeight="1">
      <c r="A876" s="26"/>
      <c r="B876" s="26"/>
      <c r="C876" s="17" t="s">
        <v>151</v>
      </c>
      <c r="D876" s="37" t="s">
        <v>1284</v>
      </c>
      <c r="E876" s="36" t="s">
        <v>632</v>
      </c>
      <c r="F876" s="38"/>
      <c r="I876" s="57"/>
      <c r="J876" s="57"/>
      <c r="M876" s="15"/>
    </row>
    <row r="877" ht="63.0" customHeight="1">
      <c r="A877" s="26"/>
      <c r="B877" s="26"/>
      <c r="C877" s="17" t="s">
        <v>151</v>
      </c>
      <c r="D877" s="37" t="s">
        <v>1285</v>
      </c>
      <c r="E877" s="36" t="s">
        <v>632</v>
      </c>
      <c r="F877" s="38"/>
      <c r="I877" s="57"/>
      <c r="J877" s="57"/>
      <c r="M877" s="15"/>
    </row>
    <row r="878" ht="63.0" customHeight="1">
      <c r="A878" s="26"/>
      <c r="B878" s="26"/>
      <c r="C878" s="17" t="s">
        <v>151</v>
      </c>
      <c r="D878" s="37" t="s">
        <v>1286</v>
      </c>
      <c r="E878" s="36" t="s">
        <v>632</v>
      </c>
      <c r="F878" s="38"/>
      <c r="I878" s="57"/>
      <c r="J878" s="57"/>
      <c r="M878" s="15"/>
    </row>
    <row r="879" ht="63.0" customHeight="1">
      <c r="A879" s="26"/>
      <c r="B879" s="26"/>
      <c r="C879" s="17" t="s">
        <v>151</v>
      </c>
      <c r="D879" s="37" t="s">
        <v>1286</v>
      </c>
      <c r="E879" s="36" t="s">
        <v>632</v>
      </c>
      <c r="F879" s="38"/>
      <c r="I879" s="57"/>
      <c r="J879" s="57"/>
      <c r="M879" s="15"/>
    </row>
    <row r="880" ht="63.0" customHeight="1">
      <c r="A880" s="26"/>
      <c r="B880" s="26"/>
      <c r="C880" s="17" t="s">
        <v>151</v>
      </c>
      <c r="D880" s="37" t="s">
        <v>1287</v>
      </c>
      <c r="E880" s="36" t="s">
        <v>632</v>
      </c>
      <c r="F880" s="38"/>
      <c r="I880" s="57"/>
      <c r="J880" s="57"/>
      <c r="M880" s="15"/>
    </row>
    <row r="881" ht="63.0" customHeight="1">
      <c r="A881" s="26"/>
      <c r="B881" s="26"/>
      <c r="C881" s="17" t="s">
        <v>151</v>
      </c>
      <c r="D881" s="37" t="s">
        <v>1288</v>
      </c>
      <c r="E881" s="36" t="s">
        <v>632</v>
      </c>
      <c r="F881" s="38"/>
      <c r="I881" s="57"/>
      <c r="J881" s="57"/>
      <c r="M881" s="15"/>
    </row>
    <row r="882" ht="63.0" customHeight="1">
      <c r="A882" s="26"/>
      <c r="B882" s="26"/>
      <c r="C882" s="17" t="s">
        <v>151</v>
      </c>
      <c r="D882" s="37" t="s">
        <v>1289</v>
      </c>
      <c r="E882" s="36" t="s">
        <v>637</v>
      </c>
      <c r="F882" s="38"/>
      <c r="I882" s="57"/>
      <c r="J882" s="57"/>
      <c r="M882" s="15"/>
    </row>
    <row r="883" ht="63.0" customHeight="1">
      <c r="A883" s="26"/>
      <c r="B883" s="26"/>
      <c r="C883" s="17" t="s">
        <v>151</v>
      </c>
      <c r="D883" s="37" t="s">
        <v>1290</v>
      </c>
      <c r="E883" s="36" t="s">
        <v>945</v>
      </c>
      <c r="F883" s="38"/>
      <c r="I883" s="57"/>
      <c r="J883" s="57"/>
      <c r="M883" s="15"/>
    </row>
    <row r="884" ht="63.0" customHeight="1">
      <c r="A884" s="26"/>
      <c r="B884" s="26"/>
      <c r="C884" s="17" t="s">
        <v>151</v>
      </c>
      <c r="D884" s="37" t="s">
        <v>1291</v>
      </c>
      <c r="E884" s="36" t="s">
        <v>632</v>
      </c>
      <c r="F884" s="38"/>
      <c r="I884" s="57"/>
      <c r="J884" s="57"/>
      <c r="M884" s="15"/>
    </row>
    <row r="885" ht="63.0" customHeight="1">
      <c r="A885" s="26"/>
      <c r="B885" s="26"/>
      <c r="C885" s="17" t="s">
        <v>151</v>
      </c>
      <c r="D885" s="37" t="s">
        <v>1292</v>
      </c>
      <c r="E885" s="36" t="s">
        <v>632</v>
      </c>
      <c r="F885" s="38"/>
      <c r="I885" s="57"/>
      <c r="J885" s="57"/>
      <c r="M885" s="15"/>
    </row>
    <row r="886" ht="63.0" customHeight="1">
      <c r="A886" s="26"/>
      <c r="B886" s="26"/>
      <c r="C886" s="17" t="s">
        <v>151</v>
      </c>
      <c r="D886" s="37" t="s">
        <v>1293</v>
      </c>
      <c r="E886" s="36" t="s">
        <v>632</v>
      </c>
      <c r="F886" s="38"/>
      <c r="I886" s="57"/>
      <c r="J886" s="57"/>
      <c r="M886" s="15"/>
    </row>
    <row r="887" ht="63.0" customHeight="1">
      <c r="A887" s="26"/>
      <c r="B887" s="26"/>
      <c r="C887" s="17" t="s">
        <v>151</v>
      </c>
      <c r="D887" s="37" t="s">
        <v>1294</v>
      </c>
      <c r="E887" s="36" t="s">
        <v>632</v>
      </c>
      <c r="F887" s="38"/>
      <c r="I887" s="57"/>
      <c r="J887" s="57"/>
      <c r="M887" s="15"/>
    </row>
    <row r="888" ht="63.0" customHeight="1">
      <c r="A888" s="26"/>
      <c r="B888" s="26"/>
      <c r="C888" s="17" t="s">
        <v>151</v>
      </c>
      <c r="D888" s="37" t="s">
        <v>1295</v>
      </c>
      <c r="E888" s="36" t="s">
        <v>632</v>
      </c>
      <c r="F888" s="38"/>
      <c r="I888" s="57"/>
      <c r="J888" s="57"/>
      <c r="M888" s="15"/>
    </row>
    <row r="889" ht="63.0" customHeight="1">
      <c r="A889" s="26"/>
      <c r="B889" s="26"/>
      <c r="C889" s="17" t="s">
        <v>151</v>
      </c>
      <c r="D889" s="37" t="s">
        <v>1296</v>
      </c>
      <c r="E889" s="36" t="s">
        <v>632</v>
      </c>
      <c r="F889" s="38"/>
      <c r="I889" s="57"/>
      <c r="J889" s="57"/>
      <c r="M889" s="15"/>
    </row>
    <row r="890" ht="63.0" customHeight="1">
      <c r="A890" s="26"/>
      <c r="B890" s="26"/>
      <c r="C890" s="17" t="s">
        <v>151</v>
      </c>
      <c r="D890" s="37" t="s">
        <v>1297</v>
      </c>
      <c r="E890" s="36" t="s">
        <v>632</v>
      </c>
      <c r="F890" s="38"/>
      <c r="I890" s="57"/>
      <c r="J890" s="57"/>
      <c r="M890" s="15"/>
    </row>
    <row r="891" ht="63.0" customHeight="1">
      <c r="A891" s="26"/>
      <c r="B891" s="26"/>
      <c r="C891" s="17" t="s">
        <v>151</v>
      </c>
      <c r="D891" s="37" t="s">
        <v>1298</v>
      </c>
      <c r="E891" s="36" t="s">
        <v>637</v>
      </c>
      <c r="F891" s="38"/>
      <c r="I891" s="57"/>
      <c r="J891" s="57"/>
      <c r="M891" s="15"/>
    </row>
    <row r="892" ht="63.0" customHeight="1">
      <c r="A892" s="26"/>
      <c r="B892" s="26"/>
      <c r="C892" s="17" t="s">
        <v>151</v>
      </c>
      <c r="D892" s="37" t="s">
        <v>1299</v>
      </c>
      <c r="E892" s="36" t="s">
        <v>632</v>
      </c>
      <c r="F892" s="38"/>
      <c r="I892" s="57"/>
      <c r="J892" s="57"/>
      <c r="M892" s="15"/>
    </row>
    <row r="893" ht="63.0" customHeight="1">
      <c r="A893" s="26"/>
      <c r="B893" s="26"/>
      <c r="C893" s="17" t="s">
        <v>151</v>
      </c>
      <c r="D893" s="37" t="s">
        <v>1300</v>
      </c>
      <c r="E893" s="36" t="s">
        <v>632</v>
      </c>
      <c r="F893" s="38"/>
      <c r="I893" s="57"/>
      <c r="J893" s="57"/>
      <c r="M893" s="15"/>
    </row>
    <row r="894" ht="63.0" customHeight="1">
      <c r="A894" s="26"/>
      <c r="B894" s="26"/>
      <c r="C894" s="17" t="s">
        <v>151</v>
      </c>
      <c r="D894" s="37" t="s">
        <v>1301</v>
      </c>
      <c r="E894" s="36" t="s">
        <v>632</v>
      </c>
      <c r="F894" s="38"/>
      <c r="I894" s="57"/>
      <c r="J894" s="57"/>
      <c r="M894" s="15"/>
    </row>
    <row r="895" ht="63.0" customHeight="1">
      <c r="A895" s="26"/>
      <c r="B895" s="26"/>
      <c r="C895" s="17" t="s">
        <v>151</v>
      </c>
      <c r="D895" s="37" t="s">
        <v>1302</v>
      </c>
      <c r="E895" s="36" t="s">
        <v>632</v>
      </c>
      <c r="F895" s="38"/>
      <c r="I895" s="57"/>
      <c r="J895" s="57"/>
      <c r="M895" s="15"/>
    </row>
    <row r="896" ht="63.0" customHeight="1">
      <c r="A896" s="26"/>
      <c r="B896" s="26"/>
      <c r="C896" s="17" t="s">
        <v>151</v>
      </c>
      <c r="D896" s="37" t="s">
        <v>1303</v>
      </c>
      <c r="E896" s="36" t="s">
        <v>637</v>
      </c>
      <c r="F896" s="38"/>
      <c r="I896" s="57"/>
      <c r="J896" s="57"/>
      <c r="M896" s="15"/>
    </row>
    <row r="897" ht="63.0" customHeight="1">
      <c r="A897" s="26"/>
      <c r="B897" s="26"/>
      <c r="C897" s="17" t="s">
        <v>151</v>
      </c>
      <c r="D897" s="37" t="s">
        <v>1304</v>
      </c>
      <c r="E897" s="36" t="s">
        <v>637</v>
      </c>
      <c r="F897" s="38"/>
      <c r="I897" s="57"/>
      <c r="J897" s="57"/>
      <c r="M897" s="15"/>
    </row>
    <row r="898" ht="63.0" customHeight="1">
      <c r="A898" s="26"/>
      <c r="B898" s="26"/>
      <c r="C898" s="17" t="s">
        <v>151</v>
      </c>
      <c r="D898" s="37" t="s">
        <v>1305</v>
      </c>
      <c r="E898" s="36" t="s">
        <v>637</v>
      </c>
      <c r="F898" s="38"/>
      <c r="I898" s="57"/>
      <c r="J898" s="57"/>
      <c r="M898" s="15"/>
    </row>
    <row r="899" ht="63.0" customHeight="1">
      <c r="A899" s="26"/>
      <c r="B899" s="26"/>
      <c r="C899" s="17" t="s">
        <v>151</v>
      </c>
      <c r="D899" s="37" t="s">
        <v>949</v>
      </c>
      <c r="E899" s="36" t="s">
        <v>632</v>
      </c>
      <c r="F899" s="38"/>
      <c r="I899" s="57"/>
      <c r="J899" s="57"/>
      <c r="M899" s="15"/>
    </row>
    <row r="900" ht="63.0" customHeight="1">
      <c r="A900" s="26"/>
      <c r="B900" s="26"/>
      <c r="C900" s="17" t="s">
        <v>151</v>
      </c>
      <c r="D900" s="37" t="s">
        <v>949</v>
      </c>
      <c r="E900" s="36" t="s">
        <v>632</v>
      </c>
      <c r="F900" s="38"/>
      <c r="I900" s="57"/>
      <c r="J900" s="57"/>
      <c r="M900" s="15"/>
    </row>
    <row r="901" ht="63.0" customHeight="1">
      <c r="A901" s="26"/>
      <c r="B901" s="26"/>
      <c r="C901" s="17" t="s">
        <v>151</v>
      </c>
      <c r="D901" s="37" t="s">
        <v>1306</v>
      </c>
      <c r="E901" s="36" t="s">
        <v>632</v>
      </c>
      <c r="F901" s="38"/>
      <c r="I901" s="57"/>
      <c r="J901" s="57"/>
      <c r="M901" s="15"/>
    </row>
    <row r="902" ht="63.0" customHeight="1">
      <c r="A902" s="26"/>
      <c r="B902" s="26"/>
      <c r="C902" s="17" t="s">
        <v>151</v>
      </c>
      <c r="D902" s="37" t="s">
        <v>1306</v>
      </c>
      <c r="E902" s="36" t="s">
        <v>632</v>
      </c>
      <c r="F902" s="38"/>
      <c r="I902" s="57"/>
      <c r="J902" s="57"/>
      <c r="M902" s="15"/>
    </row>
    <row r="903" ht="63.0" customHeight="1">
      <c r="A903" s="26"/>
      <c r="B903" s="26"/>
      <c r="C903" s="17" t="s">
        <v>151</v>
      </c>
      <c r="D903" s="37" t="s">
        <v>1307</v>
      </c>
      <c r="E903" s="36" t="s">
        <v>632</v>
      </c>
      <c r="F903" s="38"/>
      <c r="I903" s="57"/>
      <c r="J903" s="57"/>
      <c r="M903" s="15"/>
    </row>
    <row r="904" ht="63.0" customHeight="1">
      <c r="A904" s="26"/>
      <c r="B904" s="26"/>
      <c r="C904" s="17" t="s">
        <v>151</v>
      </c>
      <c r="D904" s="37" t="s">
        <v>1308</v>
      </c>
      <c r="E904" s="36" t="s">
        <v>945</v>
      </c>
      <c r="F904" s="38"/>
      <c r="I904" s="57"/>
      <c r="J904" s="57"/>
      <c r="M904" s="15"/>
    </row>
    <row r="905" ht="63.0" customHeight="1">
      <c r="A905" s="26"/>
      <c r="B905" s="26"/>
      <c r="C905" s="17" t="s">
        <v>151</v>
      </c>
      <c r="D905" s="37" t="s">
        <v>1309</v>
      </c>
      <c r="E905" s="36" t="s">
        <v>632</v>
      </c>
      <c r="F905" s="38"/>
      <c r="I905" s="57"/>
      <c r="J905" s="57"/>
      <c r="M905" s="15"/>
    </row>
    <row r="906" ht="63.0" customHeight="1">
      <c r="A906" s="26"/>
      <c r="B906" s="26"/>
      <c r="C906" s="17" t="s">
        <v>151</v>
      </c>
      <c r="D906" s="37" t="s">
        <v>1310</v>
      </c>
      <c r="E906" s="36" t="s">
        <v>632</v>
      </c>
      <c r="F906" s="38"/>
      <c r="I906" s="57"/>
      <c r="J906" s="57"/>
      <c r="M906" s="15"/>
    </row>
    <row r="907" ht="63.0" customHeight="1">
      <c r="A907" s="26"/>
      <c r="B907" s="26"/>
      <c r="C907" s="17" t="s">
        <v>151</v>
      </c>
      <c r="D907" s="37" t="s">
        <v>1310</v>
      </c>
      <c r="E907" s="36" t="s">
        <v>632</v>
      </c>
      <c r="F907" s="38"/>
      <c r="I907" s="57"/>
      <c r="J907" s="57"/>
      <c r="M907" s="15"/>
    </row>
    <row r="908" ht="63.0" customHeight="1">
      <c r="A908" s="26"/>
      <c r="B908" s="26"/>
      <c r="C908" s="17" t="s">
        <v>151</v>
      </c>
      <c r="D908" s="37" t="s">
        <v>1310</v>
      </c>
      <c r="E908" s="36" t="s">
        <v>632</v>
      </c>
      <c r="F908" s="38"/>
      <c r="I908" s="57"/>
      <c r="J908" s="57"/>
      <c r="M908" s="15"/>
    </row>
    <row r="909" ht="63.0" customHeight="1">
      <c r="A909" s="26"/>
      <c r="B909" s="26"/>
      <c r="C909" s="17" t="s">
        <v>151</v>
      </c>
      <c r="D909" s="37" t="s">
        <v>1311</v>
      </c>
      <c r="E909" s="36" t="s">
        <v>632</v>
      </c>
      <c r="F909" s="38"/>
      <c r="I909" s="57"/>
      <c r="J909" s="57"/>
      <c r="M909" s="15"/>
    </row>
    <row r="910" ht="63.0" customHeight="1">
      <c r="A910" s="26"/>
      <c r="B910" s="26"/>
      <c r="C910" s="17" t="s">
        <v>151</v>
      </c>
      <c r="D910" s="37" t="s">
        <v>1312</v>
      </c>
      <c r="E910" s="36" t="s">
        <v>632</v>
      </c>
      <c r="F910" s="38"/>
      <c r="I910" s="57"/>
      <c r="J910" s="57"/>
      <c r="M910" s="15"/>
    </row>
    <row r="911" ht="63.0" customHeight="1">
      <c r="A911" s="26"/>
      <c r="B911" s="26"/>
      <c r="C911" s="17" t="s">
        <v>151</v>
      </c>
      <c r="D911" s="37" t="s">
        <v>1313</v>
      </c>
      <c r="E911" s="36" t="s">
        <v>632</v>
      </c>
      <c r="F911" s="38"/>
      <c r="I911" s="57"/>
      <c r="J911" s="57"/>
      <c r="M911" s="15"/>
    </row>
    <row r="912" ht="63.0" customHeight="1">
      <c r="A912" s="26"/>
      <c r="B912" s="26"/>
      <c r="C912" s="17" t="s">
        <v>151</v>
      </c>
      <c r="D912" s="37" t="s">
        <v>1313</v>
      </c>
      <c r="E912" s="36" t="s">
        <v>632</v>
      </c>
      <c r="F912" s="38"/>
      <c r="I912" s="57"/>
      <c r="J912" s="57"/>
      <c r="M912" s="15"/>
    </row>
    <row r="913" ht="63.0" customHeight="1">
      <c r="A913" s="26"/>
      <c r="B913" s="26"/>
      <c r="C913" s="17" t="s">
        <v>151</v>
      </c>
      <c r="D913" s="37" t="s">
        <v>1314</v>
      </c>
      <c r="E913" s="36" t="s">
        <v>632</v>
      </c>
      <c r="F913" s="38"/>
      <c r="I913" s="57"/>
      <c r="J913" s="57"/>
      <c r="M913" s="15"/>
    </row>
    <row r="914" ht="63.0" customHeight="1">
      <c r="A914" s="26"/>
      <c r="B914" s="26"/>
      <c r="C914" s="17" t="s">
        <v>151</v>
      </c>
      <c r="D914" s="37" t="s">
        <v>1314</v>
      </c>
      <c r="E914" s="36" t="s">
        <v>632</v>
      </c>
      <c r="F914" s="38"/>
      <c r="I914" s="57"/>
      <c r="J914" s="57"/>
      <c r="M914" s="15"/>
    </row>
    <row r="915" ht="63.0" customHeight="1">
      <c r="A915" s="26"/>
      <c r="B915" s="26"/>
      <c r="C915" s="17" t="s">
        <v>151</v>
      </c>
      <c r="D915" s="37" t="s">
        <v>1315</v>
      </c>
      <c r="E915" s="36" t="s">
        <v>632</v>
      </c>
      <c r="F915" s="38"/>
      <c r="I915" s="57"/>
      <c r="J915" s="57"/>
      <c r="M915" s="15"/>
    </row>
    <row r="916" ht="63.0" customHeight="1">
      <c r="A916" s="26"/>
      <c r="B916" s="26"/>
      <c r="C916" s="17" t="s">
        <v>151</v>
      </c>
      <c r="D916" s="37" t="s">
        <v>1316</v>
      </c>
      <c r="E916" s="36" t="s">
        <v>632</v>
      </c>
      <c r="F916" s="38"/>
      <c r="I916" s="57"/>
      <c r="J916" s="57"/>
      <c r="M916" s="15"/>
    </row>
    <row r="917" ht="63.0" customHeight="1">
      <c r="A917" s="26"/>
      <c r="B917" s="26"/>
      <c r="C917" s="17" t="s">
        <v>151</v>
      </c>
      <c r="D917" s="37" t="s">
        <v>1317</v>
      </c>
      <c r="E917" s="36" t="s">
        <v>637</v>
      </c>
      <c r="F917" s="38"/>
      <c r="I917" s="57"/>
      <c r="J917" s="57"/>
      <c r="M917" s="15"/>
    </row>
    <row r="918" ht="63.0" customHeight="1">
      <c r="A918" s="26"/>
      <c r="B918" s="26"/>
      <c r="C918" s="17" t="s">
        <v>151</v>
      </c>
      <c r="D918" s="37" t="s">
        <v>1318</v>
      </c>
      <c r="E918" s="36" t="s">
        <v>637</v>
      </c>
      <c r="F918" s="38"/>
      <c r="I918" s="57"/>
      <c r="J918" s="57"/>
      <c r="M918" s="15"/>
    </row>
    <row r="919" ht="63.0" customHeight="1">
      <c r="A919" s="26"/>
      <c r="B919" s="26"/>
      <c r="C919" s="17" t="s">
        <v>151</v>
      </c>
      <c r="D919" s="37" t="s">
        <v>1319</v>
      </c>
      <c r="E919" s="36" t="s">
        <v>632</v>
      </c>
      <c r="F919" s="38"/>
      <c r="I919" s="57"/>
      <c r="J919" s="57"/>
      <c r="M919" s="15"/>
    </row>
    <row r="920" ht="63.0" customHeight="1">
      <c r="A920" s="26"/>
      <c r="B920" s="26"/>
      <c r="C920" s="17" t="s">
        <v>151</v>
      </c>
      <c r="D920" s="37" t="s">
        <v>1320</v>
      </c>
      <c r="E920" s="36" t="s">
        <v>637</v>
      </c>
      <c r="F920" s="38"/>
      <c r="I920" s="57"/>
      <c r="J920" s="57"/>
      <c r="M920" s="15"/>
    </row>
    <row r="921" ht="63.0" customHeight="1">
      <c r="A921" s="26"/>
      <c r="B921" s="26"/>
      <c r="C921" s="17" t="s">
        <v>151</v>
      </c>
      <c r="D921" s="37" t="s">
        <v>1321</v>
      </c>
      <c r="E921" s="36" t="s">
        <v>632</v>
      </c>
      <c r="F921" s="38"/>
      <c r="I921" s="57"/>
      <c r="J921" s="57"/>
      <c r="M921" s="15"/>
    </row>
    <row r="922" ht="63.0" customHeight="1">
      <c r="A922" s="26"/>
      <c r="B922" s="26"/>
      <c r="C922" s="17" t="s">
        <v>151</v>
      </c>
      <c r="D922" s="37" t="s">
        <v>1322</v>
      </c>
      <c r="E922" s="36" t="s">
        <v>637</v>
      </c>
      <c r="F922" s="38"/>
      <c r="I922" s="57"/>
      <c r="J922" s="57"/>
      <c r="M922" s="15"/>
    </row>
    <row r="923" ht="63.0" customHeight="1">
      <c r="A923" s="26"/>
      <c r="B923" s="26"/>
      <c r="C923" s="17" t="s">
        <v>151</v>
      </c>
      <c r="D923" s="37" t="s">
        <v>1323</v>
      </c>
      <c r="E923" s="36" t="s">
        <v>632</v>
      </c>
      <c r="F923" s="38"/>
      <c r="I923" s="57"/>
      <c r="J923" s="57"/>
      <c r="M923" s="15"/>
    </row>
    <row r="924" ht="63.0" customHeight="1">
      <c r="A924" s="26"/>
      <c r="B924" s="26"/>
      <c r="C924" s="17" t="s">
        <v>151</v>
      </c>
      <c r="D924" s="37" t="s">
        <v>1324</v>
      </c>
      <c r="E924" s="36" t="s">
        <v>637</v>
      </c>
      <c r="F924" s="38"/>
      <c r="I924" s="57"/>
      <c r="J924" s="57"/>
      <c r="M924" s="15"/>
    </row>
    <row r="925" ht="63.0" customHeight="1">
      <c r="A925" s="26"/>
      <c r="B925" s="26"/>
      <c r="C925" s="17" t="s">
        <v>151</v>
      </c>
      <c r="D925" s="37" t="s">
        <v>1325</v>
      </c>
      <c r="E925" s="36" t="s">
        <v>637</v>
      </c>
      <c r="F925" s="38"/>
      <c r="I925" s="57"/>
      <c r="J925" s="57"/>
      <c r="M925" s="15"/>
    </row>
    <row r="926" ht="63.0" customHeight="1">
      <c r="A926" s="26"/>
      <c r="B926" s="26"/>
      <c r="C926" s="17" t="s">
        <v>151</v>
      </c>
      <c r="D926" s="37" t="s">
        <v>1326</v>
      </c>
      <c r="E926" s="36" t="s">
        <v>632</v>
      </c>
      <c r="F926" s="38"/>
      <c r="I926" s="57"/>
      <c r="J926" s="57"/>
      <c r="M926" s="15"/>
    </row>
    <row r="927" ht="63.0" customHeight="1">
      <c r="A927" s="26"/>
      <c r="B927" s="26"/>
      <c r="C927" s="17" t="s">
        <v>151</v>
      </c>
      <c r="D927" s="37" t="s">
        <v>1327</v>
      </c>
      <c r="E927" s="36" t="s">
        <v>632</v>
      </c>
      <c r="F927" s="38"/>
      <c r="I927" s="57"/>
      <c r="J927" s="57"/>
      <c r="M927" s="15"/>
    </row>
    <row r="928" ht="63.0" customHeight="1">
      <c r="A928" s="26"/>
      <c r="B928" s="26"/>
      <c r="C928" s="17" t="s">
        <v>151</v>
      </c>
      <c r="D928" s="37" t="s">
        <v>1328</v>
      </c>
      <c r="E928" s="36" t="s">
        <v>637</v>
      </c>
      <c r="F928" s="38"/>
      <c r="I928" s="57"/>
      <c r="J928" s="57"/>
      <c r="M928" s="15"/>
    </row>
    <row r="929" ht="63.0" customHeight="1">
      <c r="A929" s="26"/>
      <c r="B929" s="26"/>
      <c r="C929" s="17" t="s">
        <v>151</v>
      </c>
      <c r="D929" s="37" t="s">
        <v>1329</v>
      </c>
      <c r="E929" s="36" t="s">
        <v>632</v>
      </c>
      <c r="F929" s="38"/>
      <c r="I929" s="57"/>
      <c r="J929" s="57"/>
      <c r="M929" s="15"/>
    </row>
    <row r="930" ht="63.0" customHeight="1">
      <c r="A930" s="26"/>
      <c r="B930" s="26"/>
      <c r="C930" s="17" t="s">
        <v>151</v>
      </c>
      <c r="D930" s="37" t="s">
        <v>1330</v>
      </c>
      <c r="E930" s="36" t="s">
        <v>637</v>
      </c>
      <c r="F930" s="38"/>
      <c r="I930" s="57"/>
      <c r="J930" s="57"/>
      <c r="M930" s="15"/>
    </row>
    <row r="931" ht="63.0" customHeight="1">
      <c r="A931" s="26"/>
      <c r="B931" s="26"/>
      <c r="C931" s="17" t="s">
        <v>151</v>
      </c>
      <c r="D931" s="37" t="s">
        <v>1331</v>
      </c>
      <c r="E931" s="36" t="s">
        <v>632</v>
      </c>
      <c r="F931" s="38"/>
      <c r="I931" s="57"/>
      <c r="J931" s="57"/>
      <c r="M931" s="15"/>
    </row>
    <row r="932" ht="63.0" customHeight="1">
      <c r="A932" s="26"/>
      <c r="B932" s="26"/>
      <c r="C932" s="17" t="s">
        <v>151</v>
      </c>
      <c r="D932" s="37" t="s">
        <v>1332</v>
      </c>
      <c r="E932" s="36" t="s">
        <v>637</v>
      </c>
      <c r="F932" s="38"/>
      <c r="I932" s="57"/>
      <c r="J932" s="57"/>
      <c r="M932" s="15"/>
    </row>
    <row r="933" ht="63.0" customHeight="1">
      <c r="A933" s="26"/>
      <c r="B933" s="26"/>
      <c r="C933" s="17" t="s">
        <v>151</v>
      </c>
      <c r="D933" s="37" t="s">
        <v>1333</v>
      </c>
      <c r="E933" s="36" t="s">
        <v>637</v>
      </c>
      <c r="F933" s="38"/>
      <c r="I933" s="57"/>
      <c r="J933" s="57"/>
      <c r="M933" s="15"/>
    </row>
    <row r="934" ht="63.0" customHeight="1">
      <c r="A934" s="26"/>
      <c r="B934" s="26"/>
      <c r="C934" s="17" t="s">
        <v>151</v>
      </c>
      <c r="D934" s="37" t="s">
        <v>1334</v>
      </c>
      <c r="E934" s="36" t="s">
        <v>637</v>
      </c>
      <c r="F934" s="38"/>
      <c r="I934" s="57"/>
      <c r="J934" s="57"/>
      <c r="M934" s="15"/>
    </row>
    <row r="935" ht="63.0" customHeight="1">
      <c r="A935" s="26"/>
      <c r="B935" s="26"/>
      <c r="C935" s="17" t="s">
        <v>151</v>
      </c>
      <c r="D935" s="37" t="s">
        <v>1335</v>
      </c>
      <c r="E935" s="36" t="s">
        <v>632</v>
      </c>
      <c r="F935" s="38"/>
      <c r="I935" s="57"/>
      <c r="J935" s="57"/>
      <c r="M935" s="15"/>
    </row>
    <row r="936" ht="63.0" customHeight="1">
      <c r="A936" s="26"/>
      <c r="B936" s="26"/>
      <c r="C936" s="17" t="s">
        <v>151</v>
      </c>
      <c r="D936" s="37" t="s">
        <v>1336</v>
      </c>
      <c r="E936" s="36" t="s">
        <v>632</v>
      </c>
      <c r="F936" s="38"/>
      <c r="I936" s="57"/>
      <c r="J936" s="57"/>
      <c r="M936" s="15"/>
    </row>
    <row r="937" ht="63.0" customHeight="1">
      <c r="A937" s="26"/>
      <c r="B937" s="26"/>
      <c r="C937" s="17" t="s">
        <v>151</v>
      </c>
      <c r="D937" s="37" t="s">
        <v>1336</v>
      </c>
      <c r="E937" s="36" t="s">
        <v>632</v>
      </c>
      <c r="F937" s="38"/>
      <c r="I937" s="57"/>
      <c r="J937" s="57"/>
      <c r="M937" s="15"/>
    </row>
    <row r="938" ht="63.0" customHeight="1">
      <c r="A938" s="26"/>
      <c r="B938" s="26"/>
      <c r="C938" s="17" t="s">
        <v>151</v>
      </c>
      <c r="D938" s="37" t="s">
        <v>1337</v>
      </c>
      <c r="E938" s="36" t="s">
        <v>632</v>
      </c>
      <c r="F938" s="38"/>
      <c r="I938" s="57"/>
      <c r="J938" s="57"/>
      <c r="M938" s="15"/>
    </row>
    <row r="939" ht="63.0" customHeight="1">
      <c r="A939" s="26"/>
      <c r="B939" s="26"/>
      <c r="C939" s="17" t="s">
        <v>151</v>
      </c>
      <c r="D939" s="37" t="s">
        <v>1338</v>
      </c>
      <c r="E939" s="36" t="s">
        <v>632</v>
      </c>
      <c r="F939" s="38"/>
      <c r="I939" s="57"/>
      <c r="J939" s="57"/>
      <c r="M939" s="15"/>
    </row>
    <row r="940" ht="63.0" customHeight="1">
      <c r="A940" s="26"/>
      <c r="B940" s="26"/>
      <c r="C940" s="17" t="s">
        <v>151</v>
      </c>
      <c r="D940" s="37" t="s">
        <v>1339</v>
      </c>
      <c r="E940" s="36" t="s">
        <v>632</v>
      </c>
      <c r="F940" s="38"/>
      <c r="I940" s="57"/>
      <c r="J940" s="57"/>
      <c r="M940" s="15"/>
    </row>
    <row r="941" ht="63.0" customHeight="1">
      <c r="A941" s="26"/>
      <c r="B941" s="26"/>
      <c r="C941" s="17" t="s">
        <v>151</v>
      </c>
      <c r="D941" s="37" t="s">
        <v>1339</v>
      </c>
      <c r="E941" s="36" t="s">
        <v>632</v>
      </c>
      <c r="F941" s="38"/>
      <c r="I941" s="57"/>
      <c r="J941" s="57"/>
      <c r="M941" s="15"/>
    </row>
    <row r="942" ht="63.0" customHeight="1">
      <c r="A942" s="26"/>
      <c r="B942" s="26"/>
      <c r="C942" s="17" t="s">
        <v>151</v>
      </c>
      <c r="D942" s="37" t="s">
        <v>1340</v>
      </c>
      <c r="E942" s="36" t="s">
        <v>632</v>
      </c>
      <c r="F942" s="38"/>
      <c r="I942" s="57"/>
      <c r="J942" s="57"/>
      <c r="M942" s="15"/>
    </row>
    <row r="943" ht="63.0" customHeight="1">
      <c r="A943" s="26"/>
      <c r="B943" s="26"/>
      <c r="C943" s="17" t="s">
        <v>151</v>
      </c>
      <c r="D943" s="37" t="s">
        <v>1341</v>
      </c>
      <c r="E943" s="36" t="s">
        <v>632</v>
      </c>
      <c r="F943" s="38"/>
      <c r="I943" s="57"/>
      <c r="J943" s="57"/>
      <c r="M943" s="15"/>
    </row>
    <row r="944" ht="63.0" customHeight="1">
      <c r="A944" s="26"/>
      <c r="B944" s="26"/>
      <c r="C944" s="17" t="s">
        <v>151</v>
      </c>
      <c r="D944" s="37" t="s">
        <v>1342</v>
      </c>
      <c r="E944" s="36" t="s">
        <v>637</v>
      </c>
      <c r="F944" s="38"/>
      <c r="I944" s="57"/>
      <c r="J944" s="57"/>
      <c r="M944" s="15"/>
    </row>
    <row r="945" ht="63.0" customHeight="1">
      <c r="A945" s="26"/>
      <c r="B945" s="26"/>
      <c r="C945" s="17" t="s">
        <v>151</v>
      </c>
      <c r="D945" s="37" t="s">
        <v>1343</v>
      </c>
      <c r="E945" s="36" t="s">
        <v>632</v>
      </c>
      <c r="F945" s="38"/>
      <c r="I945" s="57"/>
      <c r="J945" s="57"/>
      <c r="M945" s="15"/>
    </row>
    <row r="946" ht="63.0" customHeight="1">
      <c r="A946" s="26"/>
      <c r="B946" s="26"/>
      <c r="C946" s="17" t="s">
        <v>151</v>
      </c>
      <c r="D946" s="37" t="s">
        <v>1344</v>
      </c>
      <c r="E946" s="36" t="s">
        <v>632</v>
      </c>
      <c r="F946" s="38"/>
      <c r="I946" s="57"/>
      <c r="J946" s="57"/>
      <c r="M946" s="15"/>
    </row>
    <row r="947" ht="63.0" customHeight="1">
      <c r="A947" s="26"/>
      <c r="B947" s="26"/>
      <c r="C947" s="17" t="s">
        <v>151</v>
      </c>
      <c r="D947" s="37" t="s">
        <v>1345</v>
      </c>
      <c r="E947" s="36" t="s">
        <v>632</v>
      </c>
      <c r="F947" s="38"/>
      <c r="I947" s="57"/>
      <c r="J947" s="57"/>
      <c r="M947" s="15"/>
    </row>
    <row r="948" ht="63.0" customHeight="1">
      <c r="A948" s="26"/>
      <c r="B948" s="26"/>
      <c r="C948" s="17" t="s">
        <v>151</v>
      </c>
      <c r="D948" s="37" t="s">
        <v>1346</v>
      </c>
      <c r="E948" s="36" t="s">
        <v>632</v>
      </c>
      <c r="F948" s="38"/>
      <c r="I948" s="57"/>
      <c r="J948" s="57"/>
      <c r="M948" s="15"/>
    </row>
    <row r="949" ht="63.0" customHeight="1">
      <c r="A949" s="26"/>
      <c r="B949" s="26"/>
      <c r="C949" s="17" t="s">
        <v>151</v>
      </c>
      <c r="D949" s="37" t="s">
        <v>1347</v>
      </c>
      <c r="E949" s="36" t="s">
        <v>632</v>
      </c>
      <c r="F949" s="38"/>
      <c r="I949" s="57"/>
      <c r="J949" s="57"/>
      <c r="M949" s="15"/>
    </row>
    <row r="950" ht="63.0" customHeight="1">
      <c r="A950" s="26"/>
      <c r="B950" s="26"/>
      <c r="C950" s="17" t="s">
        <v>151</v>
      </c>
      <c r="D950" s="37" t="s">
        <v>1348</v>
      </c>
      <c r="E950" s="36" t="s">
        <v>632</v>
      </c>
      <c r="F950" s="38"/>
      <c r="I950" s="57"/>
      <c r="J950" s="57"/>
      <c r="M950" s="15"/>
    </row>
    <row r="951" ht="63.0" customHeight="1">
      <c r="A951" s="26"/>
      <c r="B951" s="26"/>
      <c r="C951" s="17" t="s">
        <v>151</v>
      </c>
      <c r="D951" s="37" t="s">
        <v>1349</v>
      </c>
      <c r="E951" s="36" t="s">
        <v>632</v>
      </c>
      <c r="F951" s="38"/>
      <c r="I951" s="57"/>
      <c r="J951" s="57"/>
      <c r="M951" s="15"/>
    </row>
    <row r="952" ht="63.0" customHeight="1">
      <c r="A952" s="26"/>
      <c r="B952" s="26"/>
      <c r="C952" s="17" t="s">
        <v>151</v>
      </c>
      <c r="D952" s="37" t="s">
        <v>1350</v>
      </c>
      <c r="E952" s="36" t="s">
        <v>637</v>
      </c>
      <c r="F952" s="38"/>
      <c r="I952" s="57"/>
      <c r="J952" s="57"/>
      <c r="M952" s="15"/>
    </row>
    <row r="953" ht="63.0" customHeight="1">
      <c r="A953" s="26"/>
      <c r="B953" s="26"/>
      <c r="C953" s="17" t="s">
        <v>151</v>
      </c>
      <c r="D953" s="37" t="s">
        <v>1351</v>
      </c>
      <c r="E953" s="36" t="s">
        <v>632</v>
      </c>
      <c r="F953" s="38"/>
      <c r="I953" s="57"/>
      <c r="J953" s="57"/>
      <c r="M953" s="15"/>
    </row>
    <row r="954" ht="63.0" customHeight="1">
      <c r="A954" s="26"/>
      <c r="B954" s="26"/>
      <c r="C954" s="17" t="s">
        <v>151</v>
      </c>
      <c r="D954" s="37" t="s">
        <v>1352</v>
      </c>
      <c r="E954" s="36" t="s">
        <v>632</v>
      </c>
      <c r="F954" s="38"/>
      <c r="I954" s="57"/>
      <c r="J954" s="57"/>
      <c r="M954" s="15"/>
    </row>
    <row r="955" ht="63.0" customHeight="1">
      <c r="A955" s="26"/>
      <c r="B955" s="26"/>
      <c r="C955" s="17" t="s">
        <v>151</v>
      </c>
      <c r="D955" s="37" t="s">
        <v>1353</v>
      </c>
      <c r="E955" s="36" t="s">
        <v>632</v>
      </c>
      <c r="F955" s="38"/>
      <c r="I955" s="57"/>
      <c r="J955" s="57"/>
      <c r="M955" s="15"/>
    </row>
    <row r="956" ht="63.0" customHeight="1">
      <c r="A956" s="26"/>
      <c r="B956" s="26"/>
      <c r="C956" s="17" t="s">
        <v>151</v>
      </c>
      <c r="D956" s="37" t="s">
        <v>1354</v>
      </c>
      <c r="E956" s="36" t="s">
        <v>637</v>
      </c>
      <c r="F956" s="38"/>
      <c r="I956" s="57"/>
      <c r="J956" s="57"/>
      <c r="M956" s="15"/>
    </row>
    <row r="957" ht="63.0" customHeight="1">
      <c r="A957" s="26"/>
      <c r="B957" s="26"/>
      <c r="C957" s="17" t="s">
        <v>151</v>
      </c>
      <c r="D957" s="37" t="s">
        <v>1355</v>
      </c>
      <c r="E957" s="36" t="s">
        <v>637</v>
      </c>
      <c r="F957" s="38"/>
      <c r="I957" s="57"/>
      <c r="J957" s="57"/>
      <c r="M957" s="15"/>
    </row>
    <row r="958" ht="63.0" customHeight="1">
      <c r="A958" s="26"/>
      <c r="B958" s="26"/>
      <c r="C958" s="17" t="s">
        <v>151</v>
      </c>
      <c r="D958" s="37" t="s">
        <v>1356</v>
      </c>
      <c r="E958" s="36" t="s">
        <v>632</v>
      </c>
      <c r="F958" s="38"/>
      <c r="I958" s="57"/>
      <c r="J958" s="57"/>
      <c r="M958" s="15"/>
    </row>
    <row r="959" ht="63.0" customHeight="1">
      <c r="A959" s="26"/>
      <c r="B959" s="26"/>
      <c r="C959" s="17" t="s">
        <v>151</v>
      </c>
      <c r="D959" s="37" t="s">
        <v>1357</v>
      </c>
      <c r="E959" s="36" t="s">
        <v>637</v>
      </c>
      <c r="F959" s="38"/>
      <c r="I959" s="57"/>
      <c r="J959" s="57"/>
      <c r="M959" s="15"/>
    </row>
    <row r="960" ht="63.0" customHeight="1">
      <c r="A960" s="26"/>
      <c r="B960" s="26"/>
      <c r="C960" s="17" t="s">
        <v>151</v>
      </c>
      <c r="D960" s="37" t="s">
        <v>1358</v>
      </c>
      <c r="E960" s="36" t="s">
        <v>632</v>
      </c>
      <c r="F960" s="38"/>
      <c r="I960" s="57"/>
      <c r="J960" s="57"/>
      <c r="M960" s="15"/>
    </row>
    <row r="961" ht="63.0" customHeight="1">
      <c r="A961" s="26"/>
      <c r="B961" s="26"/>
      <c r="C961" s="17" t="s">
        <v>151</v>
      </c>
      <c r="D961" s="37" t="s">
        <v>1358</v>
      </c>
      <c r="E961" s="36" t="s">
        <v>632</v>
      </c>
      <c r="F961" s="38"/>
      <c r="I961" s="57"/>
      <c r="J961" s="57"/>
      <c r="M961" s="15"/>
    </row>
    <row r="962" ht="63.0" customHeight="1">
      <c r="A962" s="26"/>
      <c r="B962" s="26"/>
      <c r="C962" s="17" t="s">
        <v>151</v>
      </c>
      <c r="D962" s="37" t="s">
        <v>1359</v>
      </c>
      <c r="E962" s="36" t="s">
        <v>632</v>
      </c>
      <c r="F962" s="38"/>
      <c r="I962" s="57"/>
      <c r="J962" s="57"/>
      <c r="M962" s="15"/>
    </row>
    <row r="963" ht="63.0" customHeight="1">
      <c r="A963" s="26"/>
      <c r="B963" s="26"/>
      <c r="C963" s="17" t="s">
        <v>151</v>
      </c>
      <c r="D963" s="37" t="s">
        <v>1360</v>
      </c>
      <c r="E963" s="36" t="s">
        <v>632</v>
      </c>
      <c r="F963" s="38"/>
      <c r="I963" s="57"/>
      <c r="J963" s="57"/>
      <c r="M963" s="15"/>
    </row>
    <row r="964" ht="63.0" customHeight="1">
      <c r="A964" s="26"/>
      <c r="B964" s="26"/>
      <c r="C964" s="17" t="s">
        <v>151</v>
      </c>
      <c r="D964" s="37" t="s">
        <v>877</v>
      </c>
      <c r="E964" s="36" t="s">
        <v>630</v>
      </c>
      <c r="F964" s="38"/>
      <c r="I964" s="57"/>
      <c r="J964" s="57"/>
      <c r="M964" s="15"/>
    </row>
    <row r="965" ht="63.0" customHeight="1">
      <c r="A965" s="26"/>
      <c r="B965" s="26"/>
      <c r="C965" s="17" t="s">
        <v>151</v>
      </c>
      <c r="D965" s="37" t="s">
        <v>1361</v>
      </c>
      <c r="E965" s="36" t="s">
        <v>632</v>
      </c>
      <c r="F965" s="38"/>
      <c r="I965" s="57"/>
      <c r="J965" s="57"/>
      <c r="M965" s="15"/>
    </row>
    <row r="966" ht="63.0" customHeight="1">
      <c r="A966" s="26"/>
      <c r="B966" s="26"/>
      <c r="C966" s="17" t="s">
        <v>151</v>
      </c>
      <c r="D966" s="37" t="s">
        <v>1362</v>
      </c>
      <c r="E966" s="36" t="s">
        <v>632</v>
      </c>
      <c r="F966" s="38"/>
      <c r="I966" s="57"/>
      <c r="J966" s="57"/>
      <c r="M966" s="15"/>
    </row>
    <row r="967" ht="63.0" customHeight="1">
      <c r="A967" s="26"/>
      <c r="B967" s="26"/>
      <c r="C967" s="17" t="s">
        <v>151</v>
      </c>
      <c r="D967" s="37" t="s">
        <v>1363</v>
      </c>
      <c r="E967" s="36" t="s">
        <v>632</v>
      </c>
      <c r="F967" s="38"/>
      <c r="I967" s="57"/>
      <c r="J967" s="57"/>
      <c r="M967" s="15"/>
    </row>
    <row r="968" ht="63.0" customHeight="1">
      <c r="A968" s="26"/>
      <c r="B968" s="26"/>
      <c r="C968" s="17" t="s">
        <v>151</v>
      </c>
      <c r="D968" s="37" t="s">
        <v>1364</v>
      </c>
      <c r="E968" s="36" t="s">
        <v>632</v>
      </c>
      <c r="F968" s="38"/>
      <c r="I968" s="57"/>
      <c r="J968" s="57"/>
      <c r="M968" s="15"/>
    </row>
    <row r="969" ht="63.0" customHeight="1">
      <c r="A969" s="26"/>
      <c r="B969" s="26"/>
      <c r="C969" s="17" t="s">
        <v>151</v>
      </c>
      <c r="D969" s="37" t="s">
        <v>1365</v>
      </c>
      <c r="E969" s="36" t="s">
        <v>632</v>
      </c>
      <c r="F969" s="38"/>
      <c r="I969" s="57"/>
      <c r="J969" s="57"/>
      <c r="M969" s="15"/>
    </row>
    <row r="970" ht="63.0" customHeight="1">
      <c r="A970" s="26"/>
      <c r="B970" s="26"/>
      <c r="C970" s="17" t="s">
        <v>151</v>
      </c>
      <c r="D970" s="37" t="s">
        <v>1366</v>
      </c>
      <c r="E970" s="36" t="s">
        <v>632</v>
      </c>
      <c r="F970" s="38"/>
      <c r="I970" s="57"/>
      <c r="J970" s="57"/>
      <c r="M970" s="15"/>
    </row>
    <row r="971" ht="63.0" customHeight="1">
      <c r="A971" s="26"/>
      <c r="B971" s="26"/>
      <c r="C971" s="17" t="s">
        <v>151</v>
      </c>
      <c r="D971" s="37" t="s">
        <v>1367</v>
      </c>
      <c r="E971" s="36" t="s">
        <v>637</v>
      </c>
      <c r="F971" s="38"/>
      <c r="I971" s="57"/>
      <c r="J971" s="57"/>
      <c r="M971" s="15"/>
    </row>
    <row r="972" ht="63.0" customHeight="1">
      <c r="A972" s="26"/>
      <c r="B972" s="26"/>
      <c r="C972" s="17" t="s">
        <v>151</v>
      </c>
      <c r="D972" s="37" t="s">
        <v>1368</v>
      </c>
      <c r="E972" s="36" t="s">
        <v>632</v>
      </c>
      <c r="F972" s="38"/>
      <c r="I972" s="57"/>
      <c r="J972" s="57"/>
      <c r="M972" s="15"/>
    </row>
    <row r="973" ht="63.0" customHeight="1">
      <c r="A973" s="26"/>
      <c r="B973" s="26"/>
      <c r="C973" s="17" t="s">
        <v>151</v>
      </c>
      <c r="D973" s="37" t="s">
        <v>1369</v>
      </c>
      <c r="E973" s="36" t="s">
        <v>632</v>
      </c>
      <c r="F973" s="38"/>
      <c r="I973" s="57"/>
      <c r="J973" s="57"/>
      <c r="M973" s="15"/>
    </row>
    <row r="974" ht="63.0" customHeight="1">
      <c r="A974" s="26"/>
      <c r="B974" s="26"/>
      <c r="C974" s="17" t="s">
        <v>151</v>
      </c>
      <c r="D974" s="37" t="s">
        <v>1370</v>
      </c>
      <c r="E974" s="36" t="s">
        <v>632</v>
      </c>
      <c r="F974" s="38"/>
      <c r="I974" s="57"/>
      <c r="J974" s="57"/>
      <c r="M974" s="15"/>
    </row>
    <row r="975" ht="63.0" customHeight="1">
      <c r="A975" s="26"/>
      <c r="B975" s="26"/>
      <c r="C975" s="17" t="s">
        <v>151</v>
      </c>
      <c r="D975" s="37" t="s">
        <v>1371</v>
      </c>
      <c r="E975" s="36" t="s">
        <v>632</v>
      </c>
      <c r="F975" s="38"/>
      <c r="I975" s="57"/>
      <c r="J975" s="57"/>
      <c r="M975" s="15"/>
    </row>
    <row r="976" ht="63.0" customHeight="1">
      <c r="A976" s="26"/>
      <c r="B976" s="26"/>
      <c r="C976" s="17" t="s">
        <v>151</v>
      </c>
      <c r="D976" s="37" t="s">
        <v>1372</v>
      </c>
      <c r="E976" s="36" t="s">
        <v>632</v>
      </c>
      <c r="F976" s="38"/>
      <c r="I976" s="57"/>
      <c r="J976" s="57"/>
      <c r="M976" s="15"/>
    </row>
    <row r="977" ht="63.0" customHeight="1">
      <c r="A977" s="26"/>
      <c r="B977" s="26"/>
      <c r="C977" s="17" t="s">
        <v>151</v>
      </c>
      <c r="D977" s="37" t="s">
        <v>1373</v>
      </c>
      <c r="E977" s="36" t="s">
        <v>632</v>
      </c>
      <c r="F977" s="38"/>
      <c r="I977" s="57"/>
      <c r="J977" s="57"/>
      <c r="M977" s="15"/>
    </row>
    <row r="978" ht="63.0" customHeight="1">
      <c r="A978" s="26"/>
      <c r="B978" s="26"/>
      <c r="C978" s="17" t="s">
        <v>151</v>
      </c>
      <c r="D978" s="37" t="s">
        <v>1374</v>
      </c>
      <c r="E978" s="36" t="s">
        <v>632</v>
      </c>
      <c r="F978" s="38"/>
      <c r="I978" s="57"/>
      <c r="J978" s="57"/>
      <c r="M978" s="15"/>
    </row>
    <row r="979" ht="63.0" customHeight="1">
      <c r="A979" s="26"/>
      <c r="B979" s="26"/>
      <c r="C979" s="17" t="s">
        <v>151</v>
      </c>
      <c r="D979" s="37" t="s">
        <v>1375</v>
      </c>
      <c r="E979" s="36" t="s">
        <v>632</v>
      </c>
      <c r="F979" s="38"/>
      <c r="I979" s="57"/>
      <c r="J979" s="57"/>
      <c r="M979" s="15"/>
    </row>
    <row r="980" ht="63.0" customHeight="1">
      <c r="A980" s="26"/>
      <c r="B980" s="26"/>
      <c r="C980" s="17" t="s">
        <v>151</v>
      </c>
      <c r="D980" s="37" t="s">
        <v>1376</v>
      </c>
      <c r="E980" s="36" t="s">
        <v>637</v>
      </c>
      <c r="F980" s="38"/>
      <c r="I980" s="57"/>
      <c r="J980" s="57"/>
      <c r="M980" s="15"/>
    </row>
    <row r="981" ht="63.0" customHeight="1">
      <c r="A981" s="26"/>
      <c r="B981" s="26"/>
      <c r="C981" s="17" t="s">
        <v>151</v>
      </c>
      <c r="D981" s="37" t="s">
        <v>1377</v>
      </c>
      <c r="E981" s="36" t="s">
        <v>632</v>
      </c>
      <c r="F981" s="38"/>
      <c r="I981" s="57"/>
      <c r="J981" s="57"/>
      <c r="M981" s="15"/>
    </row>
    <row r="982" ht="63.0" customHeight="1">
      <c r="A982" s="26"/>
      <c r="B982" s="26"/>
      <c r="C982" s="17" t="s">
        <v>151</v>
      </c>
      <c r="D982" s="37" t="s">
        <v>1378</v>
      </c>
      <c r="E982" s="36" t="s">
        <v>632</v>
      </c>
      <c r="F982" s="38"/>
      <c r="I982" s="57"/>
      <c r="J982" s="57"/>
      <c r="M982" s="15"/>
    </row>
    <row r="983" ht="63.0" customHeight="1">
      <c r="A983" s="26"/>
      <c r="B983" s="26"/>
      <c r="C983" s="17" t="s">
        <v>151</v>
      </c>
      <c r="D983" s="37" t="s">
        <v>1379</v>
      </c>
      <c r="E983" s="36" t="s">
        <v>637</v>
      </c>
      <c r="F983" s="38"/>
      <c r="I983" s="57"/>
      <c r="J983" s="57"/>
      <c r="M983" s="15"/>
    </row>
    <row r="984" ht="63.0" customHeight="1">
      <c r="A984" s="26"/>
      <c r="B984" s="26"/>
      <c r="C984" s="17" t="s">
        <v>151</v>
      </c>
      <c r="D984" s="37" t="s">
        <v>1380</v>
      </c>
      <c r="E984" s="36" t="s">
        <v>632</v>
      </c>
      <c r="F984" s="38"/>
      <c r="I984" s="57"/>
      <c r="J984" s="57"/>
      <c r="M984" s="15"/>
    </row>
    <row r="985" ht="63.0" customHeight="1">
      <c r="A985" s="26"/>
      <c r="B985" s="26"/>
      <c r="C985" s="17" t="s">
        <v>151</v>
      </c>
      <c r="D985" s="37" t="s">
        <v>1381</v>
      </c>
      <c r="E985" s="36" t="s">
        <v>632</v>
      </c>
      <c r="F985" s="38"/>
      <c r="I985" s="57"/>
      <c r="J985" s="57"/>
      <c r="M985" s="15"/>
    </row>
    <row r="986" ht="63.0" customHeight="1">
      <c r="A986" s="26"/>
      <c r="B986" s="26"/>
      <c r="C986" s="17" t="s">
        <v>151</v>
      </c>
      <c r="D986" s="37" t="s">
        <v>1382</v>
      </c>
      <c r="E986" s="36" t="s">
        <v>632</v>
      </c>
      <c r="F986" s="38"/>
      <c r="I986" s="57"/>
      <c r="J986" s="57"/>
      <c r="M986" s="15"/>
    </row>
    <row r="987" ht="63.0" customHeight="1">
      <c r="A987" s="26"/>
      <c r="B987" s="26"/>
      <c r="C987" s="17" t="s">
        <v>151</v>
      </c>
      <c r="D987" s="37" t="s">
        <v>1383</v>
      </c>
      <c r="E987" s="36" t="s">
        <v>632</v>
      </c>
      <c r="F987" s="38"/>
      <c r="I987" s="57"/>
      <c r="J987" s="57"/>
      <c r="M987" s="15"/>
    </row>
    <row r="988" ht="63.0" customHeight="1">
      <c r="A988" s="26"/>
      <c r="B988" s="26"/>
      <c r="C988" s="17" t="s">
        <v>151</v>
      </c>
      <c r="D988" s="37" t="s">
        <v>1384</v>
      </c>
      <c r="E988" s="36" t="s">
        <v>632</v>
      </c>
      <c r="F988" s="38"/>
      <c r="I988" s="57"/>
      <c r="J988" s="57"/>
      <c r="M988" s="15"/>
    </row>
    <row r="989" ht="63.0" customHeight="1">
      <c r="A989" s="26"/>
      <c r="B989" s="26"/>
      <c r="C989" s="17" t="s">
        <v>151</v>
      </c>
      <c r="D989" s="37" t="s">
        <v>1385</v>
      </c>
      <c r="E989" s="36" t="s">
        <v>632</v>
      </c>
      <c r="F989" s="38"/>
      <c r="I989" s="57"/>
      <c r="J989" s="57"/>
      <c r="M989" s="15"/>
    </row>
    <row r="990" ht="63.0" customHeight="1">
      <c r="A990" s="26"/>
      <c r="B990" s="26"/>
      <c r="C990" s="17" t="s">
        <v>151</v>
      </c>
      <c r="D990" s="37" t="s">
        <v>1386</v>
      </c>
      <c r="E990" s="36" t="s">
        <v>632</v>
      </c>
      <c r="F990" s="38"/>
      <c r="I990" s="57"/>
      <c r="J990" s="57"/>
      <c r="M990" s="15"/>
    </row>
    <row r="991" ht="63.0" customHeight="1">
      <c r="A991" s="26"/>
      <c r="B991" s="26"/>
      <c r="C991" s="17" t="s">
        <v>151</v>
      </c>
      <c r="D991" s="37" t="s">
        <v>1387</v>
      </c>
      <c r="E991" s="36" t="s">
        <v>632</v>
      </c>
      <c r="F991" s="38"/>
      <c r="I991" s="57"/>
      <c r="J991" s="57"/>
      <c r="M991" s="15"/>
    </row>
    <row r="992" ht="63.0" customHeight="1">
      <c r="A992" s="26"/>
      <c r="B992" s="26"/>
      <c r="C992" s="17" t="s">
        <v>151</v>
      </c>
      <c r="D992" s="37" t="s">
        <v>1388</v>
      </c>
      <c r="E992" s="36" t="s">
        <v>632</v>
      </c>
      <c r="F992" s="38"/>
      <c r="I992" s="57"/>
      <c r="J992" s="57"/>
      <c r="M992" s="15"/>
    </row>
    <row r="993" ht="63.0" customHeight="1">
      <c r="A993" s="26"/>
      <c r="B993" s="26"/>
      <c r="C993" s="17" t="s">
        <v>151</v>
      </c>
      <c r="D993" s="37" t="s">
        <v>1389</v>
      </c>
      <c r="E993" s="36" t="s">
        <v>632</v>
      </c>
      <c r="F993" s="38"/>
      <c r="I993" s="57"/>
      <c r="J993" s="57"/>
      <c r="M993" s="15"/>
    </row>
    <row r="994" ht="63.0" customHeight="1">
      <c r="A994" s="26"/>
      <c r="B994" s="26"/>
      <c r="C994" s="17" t="s">
        <v>151</v>
      </c>
      <c r="D994" s="37" t="s">
        <v>1389</v>
      </c>
      <c r="E994" s="36" t="s">
        <v>632</v>
      </c>
      <c r="F994" s="38"/>
      <c r="I994" s="57"/>
      <c r="J994" s="57"/>
      <c r="M994" s="15"/>
    </row>
    <row r="995" ht="63.0" customHeight="1">
      <c r="A995" s="26"/>
      <c r="B995" s="26"/>
      <c r="C995" s="17" t="s">
        <v>151</v>
      </c>
      <c r="D995" s="37" t="s">
        <v>1390</v>
      </c>
      <c r="E995" s="36" t="s">
        <v>637</v>
      </c>
      <c r="F995" s="38"/>
      <c r="I995" s="57"/>
      <c r="J995" s="57"/>
      <c r="M995" s="15"/>
    </row>
    <row r="996" ht="63.0" customHeight="1">
      <c r="A996" s="26"/>
      <c r="B996" s="26"/>
      <c r="C996" s="17" t="s">
        <v>151</v>
      </c>
      <c r="D996" s="37" t="s">
        <v>1391</v>
      </c>
      <c r="E996" s="36" t="s">
        <v>632</v>
      </c>
      <c r="F996" s="38"/>
      <c r="I996" s="57"/>
      <c r="J996" s="57"/>
      <c r="M996" s="15"/>
    </row>
    <row r="997" ht="63.0" customHeight="1">
      <c r="A997" s="26"/>
      <c r="B997" s="26"/>
      <c r="C997" s="17" t="s">
        <v>151</v>
      </c>
      <c r="D997" s="37" t="s">
        <v>1392</v>
      </c>
      <c r="E997" s="36" t="s">
        <v>637</v>
      </c>
      <c r="F997" s="38"/>
      <c r="I997" s="57"/>
      <c r="J997" s="57"/>
      <c r="M997" s="15"/>
    </row>
    <row r="998" ht="63.0" customHeight="1">
      <c r="A998" s="26"/>
      <c r="B998" s="26"/>
      <c r="C998" s="17" t="s">
        <v>151</v>
      </c>
      <c r="D998" s="37" t="s">
        <v>1393</v>
      </c>
      <c r="E998" s="36" t="s">
        <v>632</v>
      </c>
      <c r="F998" s="38"/>
      <c r="I998" s="57"/>
      <c r="J998" s="57"/>
      <c r="M998" s="15"/>
    </row>
    <row r="999" ht="63.0" customHeight="1">
      <c r="A999" s="26"/>
      <c r="B999" s="26"/>
      <c r="C999" s="17" t="s">
        <v>151</v>
      </c>
      <c r="D999" s="37" t="s">
        <v>1394</v>
      </c>
      <c r="E999" s="36" t="s">
        <v>637</v>
      </c>
      <c r="F999" s="38"/>
      <c r="I999" s="57"/>
      <c r="J999" s="57"/>
      <c r="M999" s="15"/>
    </row>
    <row r="1000" ht="63.0" customHeight="1">
      <c r="A1000" s="26"/>
      <c r="B1000" s="26"/>
      <c r="C1000" s="17" t="s">
        <v>151</v>
      </c>
      <c r="D1000" s="37" t="s">
        <v>1395</v>
      </c>
      <c r="E1000" s="36" t="s">
        <v>632</v>
      </c>
      <c r="F1000" s="38"/>
      <c r="I1000" s="57"/>
      <c r="J1000" s="57"/>
      <c r="M1000" s="15"/>
    </row>
    <row r="1001" ht="63.0" customHeight="1">
      <c r="A1001" s="26"/>
      <c r="B1001" s="26"/>
      <c r="C1001" s="17" t="s">
        <v>151</v>
      </c>
      <c r="D1001" s="37" t="s">
        <v>1396</v>
      </c>
      <c r="E1001" s="36" t="s">
        <v>632</v>
      </c>
      <c r="F1001" s="38"/>
      <c r="I1001" s="57"/>
      <c r="J1001" s="57"/>
      <c r="M1001" s="15"/>
    </row>
    <row r="1002" ht="63.0" customHeight="1">
      <c r="A1002" s="26"/>
      <c r="B1002" s="26"/>
      <c r="C1002" s="17" t="s">
        <v>151</v>
      </c>
      <c r="D1002" s="37" t="s">
        <v>1397</v>
      </c>
      <c r="E1002" s="36" t="s">
        <v>632</v>
      </c>
      <c r="F1002" s="38"/>
      <c r="I1002" s="57"/>
      <c r="J1002" s="57"/>
      <c r="M1002" s="15"/>
    </row>
    <row r="1003" ht="63.0" customHeight="1">
      <c r="A1003" s="26"/>
      <c r="B1003" s="26"/>
      <c r="C1003" s="17" t="s">
        <v>151</v>
      </c>
      <c r="D1003" s="37" t="s">
        <v>1398</v>
      </c>
      <c r="E1003" s="36" t="s">
        <v>632</v>
      </c>
      <c r="F1003" s="38"/>
      <c r="I1003" s="57"/>
      <c r="J1003" s="57"/>
      <c r="M1003" s="15"/>
    </row>
    <row r="1004" ht="63.0" customHeight="1">
      <c r="A1004" s="26"/>
      <c r="B1004" s="26"/>
      <c r="C1004" s="17" t="s">
        <v>151</v>
      </c>
      <c r="D1004" s="37" t="s">
        <v>1399</v>
      </c>
      <c r="E1004" s="36" t="s">
        <v>632</v>
      </c>
      <c r="F1004" s="38"/>
      <c r="I1004" s="57"/>
      <c r="J1004" s="57"/>
      <c r="M1004" s="15"/>
    </row>
    <row r="1005" ht="63.0" customHeight="1">
      <c r="A1005" s="26"/>
      <c r="B1005" s="26"/>
      <c r="C1005" s="17" t="s">
        <v>151</v>
      </c>
      <c r="D1005" s="37" t="s">
        <v>1400</v>
      </c>
      <c r="E1005" s="36" t="s">
        <v>632</v>
      </c>
      <c r="F1005" s="38"/>
      <c r="I1005" s="57"/>
      <c r="J1005" s="57"/>
      <c r="M1005" s="15"/>
    </row>
    <row r="1006" ht="63.0" customHeight="1">
      <c r="A1006" s="26"/>
      <c r="B1006" s="26"/>
      <c r="C1006" s="17" t="s">
        <v>151</v>
      </c>
      <c r="D1006" s="37" t="s">
        <v>1401</v>
      </c>
      <c r="E1006" s="36" t="s">
        <v>768</v>
      </c>
      <c r="F1006" s="38"/>
      <c r="I1006" s="57"/>
      <c r="J1006" s="57"/>
      <c r="M1006" s="15"/>
    </row>
    <row r="1007" ht="63.0" customHeight="1">
      <c r="A1007" s="26"/>
      <c r="B1007" s="26"/>
      <c r="C1007" s="17" t="s">
        <v>151</v>
      </c>
      <c r="D1007" s="37" t="s">
        <v>1402</v>
      </c>
      <c r="E1007" s="36" t="s">
        <v>632</v>
      </c>
      <c r="F1007" s="38"/>
      <c r="I1007" s="57"/>
      <c r="J1007" s="57"/>
      <c r="M1007" s="15"/>
    </row>
    <row r="1008" ht="63.0" customHeight="1">
      <c r="A1008" s="26"/>
      <c r="B1008" s="26"/>
      <c r="C1008" s="17" t="s">
        <v>151</v>
      </c>
      <c r="D1008" s="37" t="s">
        <v>1403</v>
      </c>
      <c r="E1008" s="36" t="s">
        <v>632</v>
      </c>
      <c r="F1008" s="38"/>
      <c r="I1008" s="57"/>
      <c r="J1008" s="57"/>
      <c r="M1008" s="15"/>
    </row>
    <row r="1009" ht="63.0" customHeight="1">
      <c r="A1009" s="26"/>
      <c r="B1009" s="26"/>
      <c r="C1009" s="17" t="s">
        <v>151</v>
      </c>
      <c r="D1009" s="37" t="s">
        <v>1404</v>
      </c>
      <c r="E1009" s="36" t="s">
        <v>632</v>
      </c>
      <c r="F1009" s="38"/>
      <c r="I1009" s="57"/>
      <c r="J1009" s="57"/>
      <c r="M1009" s="15"/>
    </row>
    <row r="1010" ht="63.0" customHeight="1">
      <c r="A1010" s="26"/>
      <c r="B1010" s="26"/>
      <c r="C1010" s="17" t="s">
        <v>151</v>
      </c>
      <c r="D1010" s="37" t="s">
        <v>960</v>
      </c>
      <c r="E1010" s="36" t="s">
        <v>768</v>
      </c>
      <c r="F1010" s="38"/>
      <c r="I1010" s="57"/>
      <c r="J1010" s="57"/>
      <c r="M1010" s="15"/>
    </row>
    <row r="1011" ht="63.0" customHeight="1">
      <c r="A1011" s="26"/>
      <c r="B1011" s="26"/>
      <c r="C1011" s="17" t="s">
        <v>151</v>
      </c>
      <c r="D1011" s="37" t="s">
        <v>1405</v>
      </c>
      <c r="E1011" s="36" t="s">
        <v>632</v>
      </c>
      <c r="F1011" s="38"/>
      <c r="I1011" s="57"/>
      <c r="J1011" s="57"/>
      <c r="M1011" s="15"/>
    </row>
    <row r="1012" ht="63.0" customHeight="1">
      <c r="A1012" s="26"/>
      <c r="B1012" s="26"/>
      <c r="C1012" s="17" t="s">
        <v>151</v>
      </c>
      <c r="D1012" s="37" t="s">
        <v>1406</v>
      </c>
      <c r="E1012" s="36" t="s">
        <v>1111</v>
      </c>
      <c r="F1012" s="38"/>
      <c r="I1012" s="57"/>
      <c r="J1012" s="57"/>
      <c r="M1012" s="15"/>
    </row>
    <row r="1013" ht="63.0" customHeight="1">
      <c r="A1013" s="26"/>
      <c r="B1013" s="26"/>
      <c r="C1013" s="17" t="s">
        <v>151</v>
      </c>
      <c r="D1013" s="37" t="s">
        <v>1407</v>
      </c>
      <c r="E1013" s="36" t="s">
        <v>632</v>
      </c>
      <c r="F1013" s="38"/>
      <c r="I1013" s="57"/>
      <c r="J1013" s="57"/>
      <c r="M1013" s="15"/>
    </row>
    <row r="1014" ht="63.0" customHeight="1">
      <c r="A1014" s="26"/>
      <c r="B1014" s="26"/>
      <c r="C1014" s="17" t="s">
        <v>151</v>
      </c>
      <c r="D1014" s="37" t="s">
        <v>1408</v>
      </c>
      <c r="E1014" s="36" t="s">
        <v>1111</v>
      </c>
      <c r="F1014" s="38"/>
      <c r="I1014" s="57"/>
      <c r="J1014" s="57"/>
      <c r="M1014" s="15"/>
    </row>
    <row r="1015" ht="63.0" customHeight="1">
      <c r="A1015" s="26"/>
      <c r="B1015" s="26"/>
      <c r="C1015" s="17" t="s">
        <v>151</v>
      </c>
      <c r="D1015" s="37" t="s">
        <v>1409</v>
      </c>
      <c r="E1015" s="36" t="s">
        <v>632</v>
      </c>
      <c r="F1015" s="38"/>
      <c r="I1015" s="57"/>
      <c r="J1015" s="57"/>
      <c r="M1015" s="15"/>
    </row>
    <row r="1016" ht="63.0" customHeight="1">
      <c r="A1016" s="26"/>
      <c r="B1016" s="26"/>
      <c r="C1016" s="17" t="s">
        <v>151</v>
      </c>
      <c r="D1016" s="37" t="s">
        <v>1410</v>
      </c>
      <c r="E1016" s="36" t="s">
        <v>632</v>
      </c>
      <c r="F1016" s="38"/>
      <c r="I1016" s="57"/>
      <c r="J1016" s="57"/>
      <c r="M1016" s="15"/>
    </row>
    <row r="1017" ht="63.0" customHeight="1">
      <c r="A1017" s="26"/>
      <c r="B1017" s="26"/>
      <c r="C1017" s="17" t="s">
        <v>151</v>
      </c>
      <c r="D1017" s="37" t="s">
        <v>1411</v>
      </c>
      <c r="E1017" s="36" t="s">
        <v>632</v>
      </c>
      <c r="F1017" s="38"/>
      <c r="I1017" s="57"/>
      <c r="J1017" s="57"/>
      <c r="M1017" s="15"/>
    </row>
    <row r="1018" ht="63.0" customHeight="1">
      <c r="A1018" s="26"/>
      <c r="B1018" s="26"/>
      <c r="C1018" s="17" t="s">
        <v>151</v>
      </c>
      <c r="D1018" s="37" t="s">
        <v>1412</v>
      </c>
      <c r="E1018" s="36" t="s">
        <v>632</v>
      </c>
      <c r="F1018" s="38"/>
      <c r="I1018" s="57"/>
      <c r="J1018" s="57"/>
      <c r="M1018" s="15"/>
    </row>
    <row r="1019" ht="63.0" customHeight="1">
      <c r="A1019" s="26"/>
      <c r="B1019" s="26"/>
      <c r="C1019" s="17" t="s">
        <v>151</v>
      </c>
      <c r="D1019" s="37" t="s">
        <v>1413</v>
      </c>
      <c r="E1019" s="36" t="s">
        <v>632</v>
      </c>
      <c r="F1019" s="38"/>
      <c r="I1019" s="57"/>
      <c r="J1019" s="57"/>
      <c r="M1019" s="15"/>
    </row>
    <row r="1020" ht="63.0" customHeight="1">
      <c r="A1020" s="26"/>
      <c r="B1020" s="26"/>
      <c r="C1020" s="17" t="s">
        <v>151</v>
      </c>
      <c r="D1020" s="37" t="s">
        <v>1414</v>
      </c>
      <c r="E1020" s="36" t="s">
        <v>632</v>
      </c>
      <c r="F1020" s="38"/>
      <c r="I1020" s="57"/>
      <c r="J1020" s="57"/>
      <c r="M1020" s="15"/>
    </row>
    <row r="1021" ht="63.0" customHeight="1">
      <c r="A1021" s="26"/>
      <c r="B1021" s="26"/>
      <c r="C1021" s="17" t="s">
        <v>151</v>
      </c>
      <c r="D1021" s="37" t="s">
        <v>1415</v>
      </c>
      <c r="E1021" s="36" t="s">
        <v>632</v>
      </c>
      <c r="F1021" s="38"/>
      <c r="I1021" s="57"/>
      <c r="J1021" s="57"/>
      <c r="M1021" s="15"/>
    </row>
    <row r="1022" ht="63.0" customHeight="1">
      <c r="A1022" s="26"/>
      <c r="B1022" s="26"/>
      <c r="C1022" s="17" t="s">
        <v>151</v>
      </c>
      <c r="D1022" s="37" t="s">
        <v>1415</v>
      </c>
      <c r="E1022" s="36" t="s">
        <v>632</v>
      </c>
      <c r="F1022" s="38"/>
      <c r="I1022" s="57"/>
      <c r="J1022" s="57"/>
      <c r="M1022" s="15"/>
    </row>
    <row r="1023" ht="63.0" customHeight="1">
      <c r="A1023" s="26"/>
      <c r="B1023" s="26"/>
      <c r="C1023" s="17" t="s">
        <v>151</v>
      </c>
      <c r="D1023" s="37" t="s">
        <v>1416</v>
      </c>
      <c r="E1023" s="36" t="s">
        <v>632</v>
      </c>
      <c r="F1023" s="38"/>
      <c r="I1023" s="57"/>
      <c r="J1023" s="57"/>
      <c r="M1023" s="15"/>
    </row>
    <row r="1024" ht="63.0" customHeight="1">
      <c r="A1024" s="26"/>
      <c r="B1024" s="26"/>
      <c r="C1024" s="17" t="s">
        <v>151</v>
      </c>
      <c r="D1024" s="37" t="s">
        <v>1417</v>
      </c>
      <c r="E1024" s="36" t="s">
        <v>632</v>
      </c>
      <c r="F1024" s="38"/>
      <c r="I1024" s="57"/>
      <c r="J1024" s="57"/>
      <c r="M1024" s="15"/>
    </row>
    <row r="1025" ht="63.0" customHeight="1">
      <c r="A1025" s="26"/>
      <c r="B1025" s="26"/>
      <c r="C1025" s="17" t="s">
        <v>151</v>
      </c>
      <c r="D1025" s="37" t="s">
        <v>1418</v>
      </c>
      <c r="E1025" s="36" t="s">
        <v>632</v>
      </c>
      <c r="F1025" s="38"/>
      <c r="I1025" s="57"/>
      <c r="J1025" s="57"/>
      <c r="M1025" s="15"/>
    </row>
    <row r="1026" ht="63.0" customHeight="1">
      <c r="A1026" s="26"/>
      <c r="B1026" s="26"/>
      <c r="C1026" s="17" t="s">
        <v>151</v>
      </c>
      <c r="D1026" s="37" t="s">
        <v>1419</v>
      </c>
      <c r="E1026" s="36" t="s">
        <v>632</v>
      </c>
      <c r="F1026" s="38"/>
      <c r="I1026" s="57"/>
      <c r="J1026" s="57"/>
      <c r="M1026" s="15"/>
    </row>
    <row r="1027" ht="63.0" customHeight="1">
      <c r="A1027" s="26"/>
      <c r="B1027" s="26"/>
      <c r="C1027" s="17" t="s">
        <v>151</v>
      </c>
      <c r="D1027" s="37" t="s">
        <v>1419</v>
      </c>
      <c r="E1027" s="36" t="s">
        <v>632</v>
      </c>
      <c r="F1027" s="38"/>
      <c r="I1027" s="57"/>
      <c r="J1027" s="57"/>
      <c r="M1027" s="15"/>
    </row>
    <row r="1028" ht="63.0" customHeight="1">
      <c r="A1028" s="26"/>
      <c r="B1028" s="26"/>
      <c r="C1028" s="17" t="s">
        <v>151</v>
      </c>
      <c r="D1028" s="37" t="s">
        <v>1420</v>
      </c>
      <c r="E1028" s="36" t="s">
        <v>632</v>
      </c>
      <c r="F1028" s="38"/>
      <c r="I1028" s="57"/>
      <c r="J1028" s="57"/>
      <c r="M1028" s="15"/>
    </row>
    <row r="1029" ht="63.0" customHeight="1">
      <c r="A1029" s="26"/>
      <c r="B1029" s="26"/>
      <c r="C1029" s="17" t="s">
        <v>151</v>
      </c>
      <c r="D1029" s="37" t="s">
        <v>1420</v>
      </c>
      <c r="E1029" s="36" t="s">
        <v>632</v>
      </c>
      <c r="F1029" s="38"/>
      <c r="I1029" s="57"/>
      <c r="J1029" s="57"/>
      <c r="M1029" s="15"/>
    </row>
    <row r="1030" ht="63.0" customHeight="1">
      <c r="A1030" s="26"/>
      <c r="B1030" s="26"/>
      <c r="C1030" s="17" t="s">
        <v>151</v>
      </c>
      <c r="D1030" s="37" t="s">
        <v>1421</v>
      </c>
      <c r="E1030" s="36" t="s">
        <v>632</v>
      </c>
      <c r="F1030" s="38"/>
      <c r="I1030" s="57"/>
      <c r="J1030" s="57"/>
      <c r="M1030" s="15"/>
    </row>
    <row r="1031" ht="63.0" customHeight="1">
      <c r="A1031" s="26"/>
      <c r="B1031" s="26"/>
      <c r="C1031" s="17" t="s">
        <v>151</v>
      </c>
      <c r="D1031" s="37" t="s">
        <v>1422</v>
      </c>
      <c r="E1031" s="36" t="s">
        <v>632</v>
      </c>
      <c r="F1031" s="38"/>
      <c r="I1031" s="57"/>
      <c r="J1031" s="57"/>
      <c r="M1031" s="15"/>
    </row>
    <row r="1032" ht="63.0" customHeight="1">
      <c r="A1032" s="26"/>
      <c r="B1032" s="26"/>
      <c r="C1032" s="17" t="s">
        <v>151</v>
      </c>
      <c r="D1032" s="37" t="s">
        <v>1423</v>
      </c>
      <c r="E1032" s="36" t="s">
        <v>632</v>
      </c>
      <c r="F1032" s="38"/>
      <c r="I1032" s="57"/>
      <c r="J1032" s="57"/>
      <c r="M1032" s="15"/>
    </row>
    <row r="1033" ht="63.0" customHeight="1">
      <c r="A1033" s="26"/>
      <c r="B1033" s="26"/>
      <c r="C1033" s="17" t="s">
        <v>151</v>
      </c>
      <c r="D1033" s="37" t="s">
        <v>1424</v>
      </c>
      <c r="E1033" s="36" t="s">
        <v>632</v>
      </c>
      <c r="F1033" s="38"/>
      <c r="I1033" s="57"/>
      <c r="J1033" s="57"/>
      <c r="M1033" s="15"/>
    </row>
    <row r="1034" ht="63.0" customHeight="1">
      <c r="A1034" s="26"/>
      <c r="B1034" s="26"/>
      <c r="C1034" s="17" t="s">
        <v>151</v>
      </c>
      <c r="D1034" s="37" t="s">
        <v>1425</v>
      </c>
      <c r="E1034" s="36" t="s">
        <v>632</v>
      </c>
      <c r="F1034" s="38"/>
      <c r="I1034" s="57"/>
      <c r="J1034" s="57"/>
      <c r="M1034" s="15"/>
    </row>
    <row r="1035" ht="63.0" customHeight="1">
      <c r="A1035" s="26"/>
      <c r="B1035" s="26"/>
      <c r="C1035" s="17" t="s">
        <v>151</v>
      </c>
      <c r="D1035" s="37" t="s">
        <v>1426</v>
      </c>
      <c r="E1035" s="36" t="s">
        <v>632</v>
      </c>
      <c r="F1035" s="38"/>
      <c r="I1035" s="57"/>
      <c r="J1035" s="57"/>
      <c r="M1035" s="15"/>
    </row>
    <row r="1036" ht="63.0" customHeight="1">
      <c r="A1036" s="26"/>
      <c r="B1036" s="26"/>
      <c r="C1036" s="17" t="s">
        <v>151</v>
      </c>
      <c r="D1036" s="37" t="s">
        <v>1426</v>
      </c>
      <c r="E1036" s="36" t="s">
        <v>632</v>
      </c>
      <c r="F1036" s="38"/>
      <c r="I1036" s="57"/>
      <c r="J1036" s="57"/>
      <c r="M1036" s="15"/>
    </row>
    <row r="1037" ht="63.0" customHeight="1">
      <c r="A1037" s="26"/>
      <c r="B1037" s="26"/>
      <c r="C1037" s="17" t="s">
        <v>151</v>
      </c>
      <c r="D1037" s="37" t="s">
        <v>1427</v>
      </c>
      <c r="E1037" s="36" t="s">
        <v>632</v>
      </c>
      <c r="F1037" s="38"/>
      <c r="I1037" s="57"/>
      <c r="J1037" s="57"/>
      <c r="M1037" s="15"/>
    </row>
    <row r="1038" ht="63.0" customHeight="1">
      <c r="A1038" s="26"/>
      <c r="B1038" s="26"/>
      <c r="C1038" s="17" t="s">
        <v>151</v>
      </c>
      <c r="D1038" s="23" t="s">
        <v>1428</v>
      </c>
      <c r="E1038" s="36" t="s">
        <v>632</v>
      </c>
      <c r="F1038" s="38"/>
      <c r="I1038" s="57"/>
      <c r="J1038" s="57"/>
      <c r="M1038" s="15"/>
    </row>
    <row r="1039" ht="63.0" customHeight="1">
      <c r="A1039" s="26"/>
      <c r="B1039" s="26"/>
      <c r="C1039" s="17" t="s">
        <v>151</v>
      </c>
      <c r="D1039" s="23" t="s">
        <v>1429</v>
      </c>
      <c r="E1039" s="36" t="s">
        <v>632</v>
      </c>
      <c r="F1039" s="38"/>
      <c r="I1039" s="57"/>
      <c r="J1039" s="57"/>
      <c r="M1039" s="15"/>
    </row>
    <row r="1040" ht="63.0" customHeight="1">
      <c r="A1040" s="26"/>
      <c r="B1040" s="26"/>
      <c r="C1040" s="17" t="s">
        <v>151</v>
      </c>
      <c r="D1040" s="23" t="s">
        <v>1429</v>
      </c>
      <c r="E1040" s="36" t="s">
        <v>632</v>
      </c>
      <c r="F1040" s="38"/>
      <c r="I1040" s="57"/>
      <c r="J1040" s="57"/>
      <c r="M1040" s="15"/>
    </row>
    <row r="1041" ht="63.0" customHeight="1">
      <c r="A1041" s="26"/>
      <c r="B1041" s="26"/>
      <c r="C1041" s="17" t="s">
        <v>151</v>
      </c>
      <c r="D1041" s="23" t="s">
        <v>1430</v>
      </c>
      <c r="E1041" s="36" t="s">
        <v>632</v>
      </c>
      <c r="F1041" s="38"/>
      <c r="I1041" s="57"/>
      <c r="J1041" s="57"/>
      <c r="M1041" s="15"/>
    </row>
    <row r="1042" ht="63.0" customHeight="1">
      <c r="A1042" s="26"/>
      <c r="B1042" s="26"/>
      <c r="C1042" s="17" t="s">
        <v>151</v>
      </c>
      <c r="D1042" s="23" t="s">
        <v>1431</v>
      </c>
      <c r="E1042" s="36" t="s">
        <v>632</v>
      </c>
      <c r="F1042" s="38"/>
      <c r="I1042" s="57"/>
      <c r="J1042" s="57"/>
      <c r="M1042" s="15"/>
    </row>
    <row r="1043" ht="63.0" customHeight="1">
      <c r="A1043" s="26"/>
      <c r="B1043" s="26"/>
      <c r="C1043" s="17" t="s">
        <v>151</v>
      </c>
      <c r="D1043" s="23" t="s">
        <v>877</v>
      </c>
      <c r="E1043" s="36" t="s">
        <v>630</v>
      </c>
      <c r="F1043" s="38"/>
      <c r="I1043" s="57"/>
      <c r="J1043" s="57"/>
      <c r="M1043" s="15"/>
    </row>
    <row r="1044" ht="63.0" customHeight="1">
      <c r="A1044" s="26"/>
      <c r="B1044" s="26"/>
      <c r="C1044" s="17" t="s">
        <v>151</v>
      </c>
      <c r="D1044" s="23" t="s">
        <v>1432</v>
      </c>
      <c r="E1044" s="36" t="s">
        <v>673</v>
      </c>
      <c r="F1044" s="38"/>
      <c r="I1044" s="57"/>
      <c r="J1044" s="57"/>
      <c r="M1044" s="15"/>
    </row>
    <row r="1045" ht="63.0" customHeight="1">
      <c r="A1045" s="26"/>
      <c r="B1045" s="26"/>
      <c r="C1045" s="17" t="s">
        <v>151</v>
      </c>
      <c r="D1045" s="23" t="s">
        <v>629</v>
      </c>
      <c r="E1045" s="36" t="s">
        <v>630</v>
      </c>
      <c r="F1045" s="38"/>
      <c r="I1045" s="57"/>
      <c r="J1045" s="57"/>
      <c r="M1045" s="15"/>
    </row>
    <row r="1046" ht="63.0" customHeight="1">
      <c r="A1046" s="26"/>
      <c r="B1046" s="26"/>
      <c r="C1046" s="17" t="s">
        <v>151</v>
      </c>
      <c r="D1046" s="23" t="s">
        <v>629</v>
      </c>
      <c r="E1046" s="36" t="s">
        <v>630</v>
      </c>
      <c r="F1046" s="38"/>
      <c r="I1046" s="57"/>
      <c r="J1046" s="57"/>
      <c r="M1046" s="15"/>
    </row>
    <row r="1047" ht="63.0" customHeight="1">
      <c r="A1047" s="26"/>
      <c r="B1047" s="26"/>
      <c r="C1047" s="17" t="s">
        <v>151</v>
      </c>
      <c r="D1047" s="23" t="s">
        <v>877</v>
      </c>
      <c r="E1047" s="36" t="s">
        <v>630</v>
      </c>
      <c r="F1047" s="38"/>
      <c r="I1047" s="57"/>
      <c r="J1047" s="57"/>
      <c r="M1047" s="15"/>
    </row>
    <row r="1048" ht="63.0" customHeight="1">
      <c r="A1048" s="26"/>
      <c r="B1048" s="26"/>
      <c r="C1048" s="17" t="s">
        <v>151</v>
      </c>
      <c r="D1048" s="23" t="s">
        <v>629</v>
      </c>
      <c r="E1048" s="36" t="s">
        <v>630</v>
      </c>
      <c r="F1048" s="38"/>
      <c r="I1048" s="57"/>
      <c r="J1048" s="57"/>
      <c r="M1048" s="15"/>
    </row>
    <row r="1049" ht="63.0" customHeight="1">
      <c r="A1049" s="26"/>
      <c r="B1049" s="26"/>
      <c r="C1049" s="17" t="s">
        <v>151</v>
      </c>
      <c r="D1049" s="23" t="s">
        <v>877</v>
      </c>
      <c r="E1049" s="36" t="s">
        <v>630</v>
      </c>
      <c r="F1049" s="38"/>
      <c r="I1049" s="57"/>
      <c r="J1049" s="57"/>
      <c r="M1049" s="15"/>
    </row>
    <row r="1050" ht="63.0" customHeight="1">
      <c r="A1050" s="26"/>
      <c r="B1050" s="26"/>
      <c r="C1050" s="17" t="s">
        <v>151</v>
      </c>
      <c r="D1050" s="23" t="s">
        <v>1433</v>
      </c>
      <c r="E1050" s="36" t="s">
        <v>768</v>
      </c>
      <c r="F1050" s="38"/>
      <c r="I1050" s="57"/>
      <c r="J1050" s="57"/>
      <c r="M1050" s="15"/>
    </row>
    <row r="1051" ht="63.0" customHeight="1">
      <c r="A1051" s="26"/>
      <c r="B1051" s="26"/>
      <c r="C1051" s="17" t="s">
        <v>151</v>
      </c>
      <c r="D1051" s="23" t="s">
        <v>1434</v>
      </c>
      <c r="E1051" s="36" t="s">
        <v>632</v>
      </c>
      <c r="F1051" s="38"/>
      <c r="I1051" s="57"/>
      <c r="J1051" s="57"/>
      <c r="M1051" s="15"/>
    </row>
    <row r="1052" ht="63.0" customHeight="1">
      <c r="A1052" s="26"/>
      <c r="B1052" s="26"/>
      <c r="C1052" s="17" t="s">
        <v>151</v>
      </c>
      <c r="D1052" s="23" t="s">
        <v>1435</v>
      </c>
      <c r="E1052" s="36" t="s">
        <v>637</v>
      </c>
      <c r="F1052" s="38"/>
      <c r="I1052" s="57"/>
      <c r="J1052" s="57"/>
      <c r="M1052" s="15"/>
    </row>
    <row r="1053" ht="63.0" customHeight="1">
      <c r="A1053" s="26"/>
      <c r="B1053" s="26"/>
      <c r="C1053" s="17" t="s">
        <v>151</v>
      </c>
      <c r="D1053" s="23" t="s">
        <v>1436</v>
      </c>
      <c r="E1053" s="36" t="s">
        <v>632</v>
      </c>
      <c r="F1053" s="38"/>
      <c r="I1053" s="57"/>
      <c r="J1053" s="57"/>
      <c r="M1053" s="15"/>
    </row>
    <row r="1054" ht="63.0" customHeight="1">
      <c r="A1054" s="26"/>
      <c r="B1054" s="26"/>
      <c r="C1054" s="17" t="s">
        <v>151</v>
      </c>
      <c r="D1054" s="23" t="s">
        <v>1437</v>
      </c>
      <c r="E1054" s="36" t="s">
        <v>632</v>
      </c>
      <c r="F1054" s="38"/>
      <c r="I1054" s="57"/>
      <c r="J1054" s="57"/>
      <c r="M1054" s="15"/>
    </row>
    <row r="1055" ht="63.0" customHeight="1">
      <c r="A1055" s="26"/>
      <c r="B1055" s="26"/>
      <c r="C1055" s="17" t="s">
        <v>151</v>
      </c>
      <c r="D1055" s="23" t="s">
        <v>1438</v>
      </c>
      <c r="E1055" s="36" t="s">
        <v>632</v>
      </c>
      <c r="F1055" s="38"/>
      <c r="I1055" s="57"/>
      <c r="J1055" s="57"/>
      <c r="M1055" s="15"/>
    </row>
    <row r="1056" ht="63.0" customHeight="1">
      <c r="A1056" s="26"/>
      <c r="B1056" s="26"/>
      <c r="C1056" s="17" t="s">
        <v>151</v>
      </c>
      <c r="D1056" s="23" t="s">
        <v>1439</v>
      </c>
      <c r="E1056" s="36" t="s">
        <v>632</v>
      </c>
      <c r="F1056" s="38"/>
      <c r="I1056" s="57"/>
      <c r="J1056" s="57"/>
      <c r="M1056" s="15"/>
    </row>
    <row r="1057" ht="63.0" customHeight="1">
      <c r="A1057" s="26"/>
      <c r="B1057" s="26"/>
      <c r="C1057" s="17" t="s">
        <v>151</v>
      </c>
      <c r="D1057" s="23" t="s">
        <v>1439</v>
      </c>
      <c r="E1057" s="36" t="s">
        <v>632</v>
      </c>
      <c r="F1057" s="38"/>
      <c r="I1057" s="57"/>
      <c r="J1057" s="57"/>
      <c r="M1057" s="15"/>
    </row>
    <row r="1058" ht="63.0" customHeight="1">
      <c r="A1058" s="26"/>
      <c r="B1058" s="26"/>
      <c r="C1058" s="17" t="s">
        <v>151</v>
      </c>
      <c r="D1058" s="23" t="s">
        <v>1440</v>
      </c>
      <c r="E1058" s="36" t="s">
        <v>632</v>
      </c>
      <c r="F1058" s="38"/>
      <c r="I1058" s="57"/>
      <c r="J1058" s="57"/>
      <c r="M1058" s="15"/>
    </row>
    <row r="1059" ht="63.0" customHeight="1">
      <c r="A1059" s="26"/>
      <c r="B1059" s="26"/>
      <c r="C1059" s="17" t="s">
        <v>151</v>
      </c>
      <c r="D1059" s="23" t="s">
        <v>1441</v>
      </c>
      <c r="E1059" s="36" t="s">
        <v>632</v>
      </c>
      <c r="F1059" s="38"/>
      <c r="I1059" s="57"/>
      <c r="J1059" s="57"/>
      <c r="M1059" s="15"/>
    </row>
    <row r="1060" ht="63.0" customHeight="1">
      <c r="A1060" s="26"/>
      <c r="B1060" s="26"/>
      <c r="C1060" s="17" t="s">
        <v>151</v>
      </c>
      <c r="D1060" s="23" t="s">
        <v>1442</v>
      </c>
      <c r="E1060" s="36" t="s">
        <v>632</v>
      </c>
      <c r="F1060" s="38"/>
      <c r="I1060" s="57"/>
      <c r="J1060" s="57"/>
      <c r="M1060" s="15"/>
    </row>
    <row r="1061" ht="63.0" customHeight="1">
      <c r="A1061" s="26"/>
      <c r="B1061" s="26"/>
      <c r="C1061" s="17" t="s">
        <v>151</v>
      </c>
      <c r="D1061" s="23" t="s">
        <v>1443</v>
      </c>
      <c r="E1061" s="36" t="s">
        <v>632</v>
      </c>
      <c r="F1061" s="38"/>
      <c r="I1061" s="57"/>
      <c r="J1061" s="57"/>
      <c r="M1061" s="15"/>
    </row>
    <row r="1062" ht="63.0" customHeight="1">
      <c r="A1062" s="26"/>
      <c r="B1062" s="26"/>
      <c r="C1062" s="17" t="s">
        <v>151</v>
      </c>
      <c r="D1062" s="23" t="s">
        <v>1444</v>
      </c>
      <c r="E1062" s="36" t="s">
        <v>632</v>
      </c>
      <c r="F1062" s="38"/>
      <c r="I1062" s="57"/>
      <c r="J1062" s="57"/>
      <c r="M1062" s="15"/>
    </row>
    <row r="1063" ht="63.0" customHeight="1">
      <c r="A1063" s="26"/>
      <c r="B1063" s="26"/>
      <c r="C1063" s="17" t="s">
        <v>151</v>
      </c>
      <c r="D1063" s="23" t="s">
        <v>1445</v>
      </c>
      <c r="E1063" s="36" t="s">
        <v>632</v>
      </c>
      <c r="F1063" s="38"/>
      <c r="I1063" s="57"/>
      <c r="J1063" s="57"/>
      <c r="M1063" s="15"/>
    </row>
    <row r="1064" ht="63.0" customHeight="1">
      <c r="A1064" s="26"/>
      <c r="B1064" s="26"/>
      <c r="C1064" s="17" t="s">
        <v>151</v>
      </c>
      <c r="D1064" s="23" t="s">
        <v>1446</v>
      </c>
      <c r="E1064" s="36" t="s">
        <v>632</v>
      </c>
      <c r="F1064" s="38"/>
      <c r="I1064" s="57"/>
      <c r="J1064" s="57"/>
      <c r="M1064" s="15"/>
    </row>
    <row r="1065" ht="63.0" customHeight="1">
      <c r="A1065" s="26"/>
      <c r="B1065" s="26"/>
      <c r="C1065" s="17" t="s">
        <v>151</v>
      </c>
      <c r="D1065" s="23" t="s">
        <v>1447</v>
      </c>
      <c r="E1065" s="36" t="s">
        <v>632</v>
      </c>
      <c r="F1065" s="38"/>
      <c r="I1065" s="57"/>
      <c r="J1065" s="57"/>
      <c r="M1065" s="15"/>
    </row>
    <row r="1066" ht="63.0" customHeight="1">
      <c r="A1066" s="26"/>
      <c r="B1066" s="26"/>
      <c r="C1066" s="17" t="s">
        <v>151</v>
      </c>
      <c r="D1066" s="23" t="s">
        <v>1448</v>
      </c>
      <c r="E1066" s="36" t="s">
        <v>632</v>
      </c>
      <c r="F1066" s="38"/>
      <c r="I1066" s="57"/>
      <c r="J1066" s="57"/>
      <c r="M1066" s="15"/>
    </row>
    <row r="1067" ht="63.0" customHeight="1">
      <c r="A1067" s="26"/>
      <c r="B1067" s="26"/>
      <c r="C1067" s="17" t="s">
        <v>151</v>
      </c>
      <c r="D1067" s="23" t="s">
        <v>1449</v>
      </c>
      <c r="E1067" s="36" t="s">
        <v>632</v>
      </c>
      <c r="F1067" s="38"/>
      <c r="I1067" s="57"/>
      <c r="J1067" s="57"/>
      <c r="M1067" s="15"/>
    </row>
    <row r="1068" ht="63.0" customHeight="1">
      <c r="A1068" s="26"/>
      <c r="B1068" s="26"/>
      <c r="C1068" s="17" t="s">
        <v>151</v>
      </c>
      <c r="D1068" s="23" t="s">
        <v>1450</v>
      </c>
      <c r="E1068" s="36" t="s">
        <v>632</v>
      </c>
      <c r="F1068" s="38"/>
      <c r="I1068" s="57"/>
      <c r="J1068" s="57"/>
      <c r="M1068" s="15"/>
    </row>
    <row r="1069" ht="63.0" customHeight="1">
      <c r="A1069" s="26"/>
      <c r="B1069" s="26"/>
      <c r="C1069" s="17" t="s">
        <v>151</v>
      </c>
      <c r="D1069" s="23" t="s">
        <v>1450</v>
      </c>
      <c r="E1069" s="36" t="s">
        <v>632</v>
      </c>
      <c r="F1069" s="38"/>
      <c r="I1069" s="57"/>
      <c r="J1069" s="57"/>
      <c r="M1069" s="15"/>
    </row>
    <row r="1070" ht="63.0" customHeight="1">
      <c r="A1070" s="26"/>
      <c r="B1070" s="26"/>
      <c r="C1070" s="17" t="s">
        <v>151</v>
      </c>
      <c r="D1070" s="23" t="s">
        <v>1451</v>
      </c>
      <c r="E1070" s="36" t="s">
        <v>632</v>
      </c>
      <c r="F1070" s="38"/>
      <c r="I1070" s="57"/>
      <c r="J1070" s="57"/>
      <c r="M1070" s="15"/>
    </row>
    <row r="1071" ht="63.0" customHeight="1">
      <c r="A1071" s="26"/>
      <c r="B1071" s="26"/>
      <c r="C1071" s="17" t="s">
        <v>151</v>
      </c>
      <c r="D1071" s="23" t="s">
        <v>1452</v>
      </c>
      <c r="E1071" s="36" t="s">
        <v>632</v>
      </c>
      <c r="F1071" s="38"/>
      <c r="I1071" s="57"/>
      <c r="J1071" s="57"/>
      <c r="M1071" s="15"/>
    </row>
    <row r="1072" ht="63.0" customHeight="1">
      <c r="A1072" s="26"/>
      <c r="B1072" s="26"/>
      <c r="C1072" s="17" t="s">
        <v>151</v>
      </c>
      <c r="D1072" s="23" t="s">
        <v>1453</v>
      </c>
      <c r="E1072" s="36" t="s">
        <v>632</v>
      </c>
      <c r="F1072" s="38"/>
      <c r="I1072" s="57"/>
      <c r="J1072" s="57"/>
      <c r="M1072" s="15"/>
    </row>
    <row r="1073" ht="63.0" customHeight="1">
      <c r="A1073" s="26"/>
      <c r="B1073" s="26"/>
      <c r="C1073" s="17" t="s">
        <v>151</v>
      </c>
      <c r="D1073" s="23" t="s">
        <v>1454</v>
      </c>
      <c r="E1073" s="36" t="s">
        <v>632</v>
      </c>
      <c r="F1073" s="38"/>
      <c r="I1073" s="57"/>
      <c r="J1073" s="57"/>
      <c r="M1073" s="15"/>
    </row>
    <row r="1074" ht="63.0" customHeight="1">
      <c r="A1074" s="26"/>
      <c r="B1074" s="26"/>
      <c r="C1074" s="17" t="s">
        <v>151</v>
      </c>
      <c r="D1074" s="23" t="s">
        <v>1209</v>
      </c>
      <c r="E1074" s="36" t="s">
        <v>632</v>
      </c>
      <c r="F1074" s="38"/>
      <c r="I1074" s="57"/>
      <c r="J1074" s="57"/>
      <c r="M1074" s="15"/>
    </row>
    <row r="1075" ht="63.0" customHeight="1">
      <c r="A1075" s="26"/>
      <c r="B1075" s="26"/>
      <c r="C1075" s="17" t="s">
        <v>151</v>
      </c>
      <c r="D1075" s="23" t="s">
        <v>1455</v>
      </c>
      <c r="E1075" s="36" t="s">
        <v>632</v>
      </c>
      <c r="F1075" s="38"/>
      <c r="I1075" s="57"/>
      <c r="J1075" s="57"/>
      <c r="M1075" s="15"/>
    </row>
    <row r="1076" ht="63.0" customHeight="1">
      <c r="A1076" s="26"/>
      <c r="B1076" s="26"/>
      <c r="C1076" s="17" t="s">
        <v>151</v>
      </c>
      <c r="D1076" s="23" t="s">
        <v>877</v>
      </c>
      <c r="E1076" s="36" t="s">
        <v>630</v>
      </c>
      <c r="F1076" s="38"/>
      <c r="I1076" s="57"/>
      <c r="J1076" s="57"/>
      <c r="M1076" s="15"/>
    </row>
    <row r="1077" ht="63.0" customHeight="1">
      <c r="A1077" s="26"/>
      <c r="B1077" s="26"/>
      <c r="C1077" s="17" t="s">
        <v>151</v>
      </c>
      <c r="D1077" s="23" t="s">
        <v>1456</v>
      </c>
      <c r="E1077" s="36" t="s">
        <v>768</v>
      </c>
      <c r="F1077" s="38"/>
      <c r="I1077" s="57"/>
      <c r="J1077" s="57"/>
      <c r="M1077" s="15"/>
    </row>
    <row r="1078" ht="63.0" customHeight="1">
      <c r="A1078" s="26"/>
      <c r="B1078" s="26"/>
      <c r="C1078" s="17" t="s">
        <v>151</v>
      </c>
      <c r="D1078" s="23" t="s">
        <v>877</v>
      </c>
      <c r="E1078" s="36" t="s">
        <v>630</v>
      </c>
      <c r="F1078" s="38"/>
      <c r="I1078" s="57"/>
      <c r="J1078" s="57"/>
      <c r="M1078" s="15"/>
    </row>
    <row r="1079" ht="63.0" customHeight="1">
      <c r="A1079" s="26"/>
      <c r="B1079" s="26"/>
      <c r="C1079" s="17" t="s">
        <v>151</v>
      </c>
      <c r="D1079" s="23" t="s">
        <v>629</v>
      </c>
      <c r="E1079" s="36" t="s">
        <v>630</v>
      </c>
      <c r="F1079" s="38"/>
      <c r="I1079" s="57"/>
      <c r="J1079" s="57"/>
      <c r="M1079" s="15"/>
    </row>
    <row r="1080" ht="63.0" customHeight="1">
      <c r="A1080" s="26"/>
      <c r="B1080" s="26"/>
      <c r="C1080" s="17" t="s">
        <v>151</v>
      </c>
      <c r="D1080" s="23" t="s">
        <v>877</v>
      </c>
      <c r="E1080" s="36" t="s">
        <v>630</v>
      </c>
      <c r="F1080" s="38"/>
      <c r="I1080" s="57"/>
      <c r="J1080" s="57"/>
      <c r="M1080" s="15"/>
    </row>
    <row r="1081" ht="63.0" customHeight="1">
      <c r="A1081" s="26"/>
      <c r="B1081" s="26"/>
      <c r="C1081" s="17" t="s">
        <v>151</v>
      </c>
      <c r="D1081" s="23" t="s">
        <v>1457</v>
      </c>
      <c r="E1081" s="36" t="s">
        <v>478</v>
      </c>
      <c r="F1081" s="38"/>
      <c r="I1081" s="57"/>
      <c r="J1081" s="57"/>
      <c r="M1081" s="15"/>
    </row>
    <row r="1082" ht="63.0" customHeight="1">
      <c r="A1082" s="26"/>
      <c r="B1082" s="26"/>
      <c r="C1082" s="17" t="s">
        <v>151</v>
      </c>
      <c r="D1082" s="23" t="s">
        <v>1458</v>
      </c>
      <c r="E1082" s="36" t="s">
        <v>478</v>
      </c>
      <c r="F1082" s="38"/>
      <c r="I1082" s="57"/>
      <c r="J1082" s="57"/>
      <c r="M1082" s="15"/>
    </row>
    <row r="1083" ht="63.0" customHeight="1">
      <c r="A1083" s="26"/>
      <c r="B1083" s="26"/>
      <c r="C1083" s="17" t="s">
        <v>151</v>
      </c>
      <c r="D1083" s="23" t="s">
        <v>1459</v>
      </c>
      <c r="E1083" s="36" t="s">
        <v>1460</v>
      </c>
      <c r="F1083" s="38"/>
      <c r="I1083" s="57"/>
      <c r="J1083" s="57"/>
      <c r="M1083" s="15"/>
    </row>
    <row r="1084" ht="63.0" customHeight="1">
      <c r="A1084" s="26"/>
      <c r="B1084" s="26"/>
      <c r="C1084" s="17" t="s">
        <v>151</v>
      </c>
      <c r="D1084" s="23" t="s">
        <v>1461</v>
      </c>
      <c r="E1084" s="36" t="s">
        <v>1460</v>
      </c>
      <c r="F1084" s="38"/>
      <c r="I1084" s="57"/>
      <c r="J1084" s="57"/>
      <c r="M1084" s="15"/>
    </row>
    <row r="1085" ht="63.0" customHeight="1">
      <c r="A1085" s="26"/>
      <c r="B1085" s="26"/>
      <c r="C1085" s="17" t="s">
        <v>151</v>
      </c>
      <c r="D1085" s="23" t="s">
        <v>1462</v>
      </c>
      <c r="E1085" s="36" t="s">
        <v>1460</v>
      </c>
      <c r="F1085" s="38"/>
      <c r="I1085" s="57"/>
      <c r="J1085" s="57"/>
      <c r="M1085" s="15"/>
    </row>
    <row r="1086" ht="63.0" customHeight="1">
      <c r="A1086" s="26"/>
      <c r="B1086" s="26"/>
      <c r="C1086" s="17" t="s">
        <v>151</v>
      </c>
      <c r="D1086" s="23" t="s">
        <v>1463</v>
      </c>
      <c r="E1086" s="36" t="s">
        <v>1460</v>
      </c>
      <c r="F1086" s="38"/>
      <c r="I1086" s="57"/>
      <c r="J1086" s="57"/>
      <c r="M1086" s="15"/>
    </row>
    <row r="1087" ht="63.0" customHeight="1">
      <c r="A1087" s="26"/>
      <c r="B1087" s="26"/>
      <c r="C1087" s="17" t="s">
        <v>151</v>
      </c>
      <c r="D1087" s="23" t="s">
        <v>1464</v>
      </c>
      <c r="E1087" s="36" t="s">
        <v>632</v>
      </c>
      <c r="F1087" s="38"/>
      <c r="I1087" s="57"/>
      <c r="J1087" s="57"/>
      <c r="M1087" s="15"/>
    </row>
    <row r="1088" ht="63.0" customHeight="1">
      <c r="A1088" s="26"/>
      <c r="B1088" s="26"/>
      <c r="C1088" s="17" t="s">
        <v>151</v>
      </c>
      <c r="D1088" s="23" t="s">
        <v>1465</v>
      </c>
      <c r="E1088" s="36" t="s">
        <v>478</v>
      </c>
      <c r="F1088" s="38"/>
      <c r="I1088" s="57"/>
      <c r="J1088" s="57"/>
      <c r="M1088" s="15"/>
    </row>
    <row r="1089" ht="63.0" customHeight="1">
      <c r="A1089" s="26"/>
      <c r="B1089" s="26"/>
      <c r="C1089" s="17" t="s">
        <v>151</v>
      </c>
      <c r="D1089" s="23" t="s">
        <v>1466</v>
      </c>
      <c r="E1089" s="36" t="s">
        <v>632</v>
      </c>
      <c r="F1089" s="38"/>
      <c r="I1089" s="57"/>
      <c r="J1089" s="57"/>
      <c r="M1089" s="15"/>
    </row>
    <row r="1090" ht="63.0" customHeight="1">
      <c r="A1090" s="26"/>
      <c r="B1090" s="26"/>
      <c r="C1090" s="17" t="s">
        <v>151</v>
      </c>
      <c r="D1090" s="23" t="s">
        <v>1467</v>
      </c>
      <c r="E1090" s="36" t="s">
        <v>478</v>
      </c>
      <c r="F1090" s="38"/>
      <c r="I1090" s="57"/>
      <c r="J1090" s="57"/>
      <c r="M1090" s="15"/>
    </row>
    <row r="1091" ht="63.0" customHeight="1">
      <c r="A1091" s="26"/>
      <c r="B1091" s="26"/>
      <c r="C1091" s="17" t="s">
        <v>151</v>
      </c>
      <c r="D1091" s="23" t="s">
        <v>1468</v>
      </c>
      <c r="E1091" s="36" t="s">
        <v>1460</v>
      </c>
      <c r="F1091" s="38"/>
      <c r="I1091" s="57"/>
      <c r="J1091" s="57"/>
      <c r="M1091" s="15"/>
    </row>
    <row r="1092" ht="63.0" customHeight="1">
      <c r="A1092" s="26"/>
      <c r="B1092" s="26"/>
      <c r="C1092" s="17" t="s">
        <v>151</v>
      </c>
      <c r="D1092" s="23" t="s">
        <v>1469</v>
      </c>
      <c r="E1092" s="36" t="s">
        <v>673</v>
      </c>
      <c r="F1092" s="38"/>
      <c r="I1092" s="57"/>
      <c r="J1092" s="57"/>
      <c r="M1092" s="15"/>
    </row>
    <row r="1093" ht="63.0" customHeight="1">
      <c r="A1093" s="26"/>
      <c r="B1093" s="26"/>
      <c r="C1093" s="17" t="s">
        <v>151</v>
      </c>
      <c r="D1093" s="23" t="s">
        <v>1470</v>
      </c>
      <c r="E1093" s="36" t="s">
        <v>478</v>
      </c>
      <c r="F1093" s="38"/>
      <c r="I1093" s="57"/>
      <c r="J1093" s="57"/>
      <c r="M1093" s="15"/>
    </row>
    <row r="1094" ht="63.0" customHeight="1">
      <c r="A1094" s="26"/>
      <c r="B1094" s="26"/>
      <c r="C1094" s="17" t="s">
        <v>151</v>
      </c>
      <c r="D1094" s="23" t="s">
        <v>1471</v>
      </c>
      <c r="E1094" s="36" t="s">
        <v>478</v>
      </c>
      <c r="F1094" s="38"/>
      <c r="I1094" s="57"/>
      <c r="J1094" s="57"/>
      <c r="M1094" s="15"/>
    </row>
    <row r="1095" ht="63.0" customHeight="1">
      <c r="A1095" s="26"/>
      <c r="B1095" s="26"/>
      <c r="C1095" s="17" t="s">
        <v>151</v>
      </c>
      <c r="D1095" s="23" t="s">
        <v>1472</v>
      </c>
      <c r="E1095" s="36" t="s">
        <v>478</v>
      </c>
      <c r="F1095" s="38"/>
      <c r="I1095" s="57"/>
      <c r="J1095" s="57"/>
      <c r="M1095" s="15"/>
    </row>
    <row r="1096" ht="63.0" customHeight="1">
      <c r="A1096" s="26"/>
      <c r="B1096" s="26"/>
      <c r="C1096" s="17" t="s">
        <v>151</v>
      </c>
      <c r="D1096" s="23" t="s">
        <v>1473</v>
      </c>
      <c r="E1096" s="36" t="s">
        <v>478</v>
      </c>
      <c r="F1096" s="38"/>
      <c r="I1096" s="57"/>
      <c r="J1096" s="57"/>
      <c r="M1096" s="15"/>
    </row>
    <row r="1097" ht="63.0" customHeight="1">
      <c r="A1097" s="26"/>
      <c r="B1097" s="26"/>
      <c r="C1097" s="17" t="s">
        <v>151</v>
      </c>
      <c r="D1097" s="23" t="s">
        <v>1474</v>
      </c>
      <c r="E1097" s="36" t="s">
        <v>478</v>
      </c>
      <c r="F1097" s="38"/>
      <c r="I1097" s="57"/>
      <c r="J1097" s="57"/>
      <c r="M1097" s="15"/>
    </row>
    <row r="1098" ht="63.0" customHeight="1">
      <c r="A1098" s="26"/>
      <c r="B1098" s="26"/>
      <c r="C1098" s="17" t="s">
        <v>151</v>
      </c>
      <c r="D1098" s="23" t="s">
        <v>1475</v>
      </c>
      <c r="E1098" s="36" t="s">
        <v>478</v>
      </c>
      <c r="F1098" s="38"/>
      <c r="I1098" s="57"/>
      <c r="J1098" s="57"/>
      <c r="M1098" s="15"/>
    </row>
    <row r="1099" ht="63.0" customHeight="1">
      <c r="A1099" s="26"/>
      <c r="B1099" s="26"/>
      <c r="C1099" s="17" t="s">
        <v>151</v>
      </c>
      <c r="D1099" s="23" t="s">
        <v>1476</v>
      </c>
      <c r="E1099" s="36" t="s">
        <v>673</v>
      </c>
      <c r="F1099" s="38"/>
      <c r="I1099" s="57"/>
      <c r="J1099" s="57"/>
      <c r="M1099" s="15"/>
    </row>
    <row r="1100" ht="63.0" customHeight="1">
      <c r="A1100" s="26"/>
      <c r="B1100" s="26"/>
      <c r="C1100" s="17" t="s">
        <v>151</v>
      </c>
      <c r="D1100" s="23" t="s">
        <v>1477</v>
      </c>
      <c r="E1100" s="36" t="s">
        <v>478</v>
      </c>
      <c r="F1100" s="38"/>
      <c r="I1100" s="57"/>
      <c r="J1100" s="57"/>
      <c r="M1100" s="15"/>
    </row>
    <row r="1101" ht="63.0" customHeight="1">
      <c r="A1101" s="26"/>
      <c r="B1101" s="26"/>
      <c r="C1101" s="17" t="s">
        <v>151</v>
      </c>
      <c r="D1101" s="23" t="s">
        <v>1478</v>
      </c>
      <c r="E1101" s="36" t="s">
        <v>478</v>
      </c>
      <c r="F1101" s="38"/>
      <c r="I1101" s="57"/>
      <c r="J1101" s="57"/>
      <c r="M1101" s="15"/>
    </row>
    <row r="1102" ht="63.0" customHeight="1">
      <c r="A1102" s="26"/>
      <c r="B1102" s="26"/>
      <c r="C1102" s="17" t="s">
        <v>151</v>
      </c>
      <c r="D1102" s="23" t="s">
        <v>1253</v>
      </c>
      <c r="E1102" s="36" t="s">
        <v>478</v>
      </c>
      <c r="F1102" s="38"/>
      <c r="I1102" s="57"/>
      <c r="J1102" s="57"/>
      <c r="M1102" s="15"/>
    </row>
    <row r="1103" ht="63.0" customHeight="1">
      <c r="A1103" s="26"/>
      <c r="B1103" s="26"/>
      <c r="C1103" s="17" t="s">
        <v>151</v>
      </c>
      <c r="D1103" s="23" t="s">
        <v>1253</v>
      </c>
      <c r="E1103" s="36" t="s">
        <v>478</v>
      </c>
      <c r="F1103" s="38"/>
      <c r="I1103" s="57"/>
      <c r="J1103" s="57"/>
      <c r="M1103" s="15"/>
    </row>
    <row r="1104" ht="63.0" customHeight="1">
      <c r="A1104" s="26"/>
      <c r="B1104" s="26"/>
      <c r="C1104" s="17" t="s">
        <v>151</v>
      </c>
      <c r="D1104" s="23" t="s">
        <v>1190</v>
      </c>
      <c r="E1104" s="36" t="s">
        <v>478</v>
      </c>
      <c r="F1104" s="38"/>
      <c r="I1104" s="57"/>
      <c r="J1104" s="57"/>
      <c r="M1104" s="15"/>
    </row>
    <row r="1105" ht="63.0" customHeight="1">
      <c r="A1105" s="26"/>
      <c r="B1105" s="26"/>
      <c r="C1105" s="17" t="s">
        <v>151</v>
      </c>
      <c r="D1105" s="23" t="s">
        <v>1216</v>
      </c>
      <c r="E1105" s="36" t="s">
        <v>478</v>
      </c>
      <c r="F1105" s="38"/>
      <c r="I1105" s="57"/>
      <c r="J1105" s="57"/>
      <c r="M1105" s="15"/>
    </row>
    <row r="1106" ht="63.0" customHeight="1">
      <c r="A1106" s="26"/>
      <c r="B1106" s="26"/>
      <c r="C1106" s="17" t="s">
        <v>151</v>
      </c>
      <c r="D1106" s="23" t="s">
        <v>1217</v>
      </c>
      <c r="E1106" s="36" t="s">
        <v>478</v>
      </c>
      <c r="F1106" s="38"/>
      <c r="I1106" s="57"/>
      <c r="J1106" s="57"/>
      <c r="M1106" s="15"/>
    </row>
    <row r="1107" ht="63.0" customHeight="1">
      <c r="A1107" s="26"/>
      <c r="B1107" s="26"/>
      <c r="C1107" s="17" t="s">
        <v>151</v>
      </c>
      <c r="D1107" s="23" t="s">
        <v>1254</v>
      </c>
      <c r="E1107" s="36" t="s">
        <v>478</v>
      </c>
      <c r="F1107" s="38"/>
      <c r="I1107" s="57"/>
      <c r="J1107" s="57"/>
      <c r="M1107" s="15"/>
    </row>
    <row r="1108" ht="63.0" customHeight="1">
      <c r="A1108" s="26"/>
      <c r="B1108" s="26"/>
      <c r="C1108" s="17" t="s">
        <v>151</v>
      </c>
      <c r="D1108" s="23" t="s">
        <v>1254</v>
      </c>
      <c r="E1108" s="36" t="s">
        <v>478</v>
      </c>
      <c r="F1108" s="38"/>
      <c r="I1108" s="57"/>
      <c r="J1108" s="57"/>
      <c r="M1108" s="15"/>
    </row>
    <row r="1109" ht="63.0" customHeight="1">
      <c r="A1109" s="26"/>
      <c r="B1109" s="26"/>
      <c r="C1109" s="17" t="s">
        <v>151</v>
      </c>
      <c r="D1109" s="23" t="s">
        <v>1255</v>
      </c>
      <c r="E1109" s="36" t="s">
        <v>478</v>
      </c>
      <c r="F1109" s="38"/>
      <c r="I1109" s="57"/>
      <c r="J1109" s="57"/>
      <c r="M1109" s="15"/>
    </row>
    <row r="1110" ht="63.0" customHeight="1">
      <c r="A1110" s="26"/>
      <c r="B1110" s="26"/>
      <c r="C1110" s="17" t="s">
        <v>151</v>
      </c>
      <c r="D1110" s="23" t="s">
        <v>1255</v>
      </c>
      <c r="E1110" s="36" t="s">
        <v>478</v>
      </c>
      <c r="F1110" s="38"/>
      <c r="I1110" s="57"/>
      <c r="J1110" s="57"/>
      <c r="M1110" s="15"/>
    </row>
    <row r="1111" ht="63.0" customHeight="1">
      <c r="A1111" s="26"/>
      <c r="B1111" s="26"/>
      <c r="C1111" s="17" t="s">
        <v>151</v>
      </c>
      <c r="D1111" s="23" t="s">
        <v>1191</v>
      </c>
      <c r="E1111" s="36" t="s">
        <v>478</v>
      </c>
      <c r="F1111" s="38"/>
      <c r="I1111" s="57"/>
      <c r="J1111" s="57"/>
      <c r="M1111" s="15"/>
    </row>
    <row r="1112" ht="63.0" customHeight="1">
      <c r="A1112" s="26"/>
      <c r="B1112" s="26"/>
      <c r="C1112" s="17" t="s">
        <v>151</v>
      </c>
      <c r="D1112" s="23" t="s">
        <v>1191</v>
      </c>
      <c r="E1112" s="36" t="s">
        <v>478</v>
      </c>
      <c r="F1112" s="38"/>
      <c r="I1112" s="57"/>
      <c r="J1112" s="57"/>
      <c r="M1112" s="15"/>
    </row>
    <row r="1113" ht="63.0" customHeight="1">
      <c r="A1113" s="26"/>
      <c r="B1113" s="26"/>
      <c r="C1113" s="17" t="s">
        <v>151</v>
      </c>
      <c r="D1113" s="23" t="s">
        <v>1192</v>
      </c>
      <c r="E1113" s="36" t="s">
        <v>478</v>
      </c>
      <c r="F1113" s="38"/>
      <c r="I1113" s="57"/>
      <c r="J1113" s="57"/>
      <c r="M1113" s="15"/>
    </row>
    <row r="1114" ht="63.0" customHeight="1">
      <c r="A1114" s="26"/>
      <c r="B1114" s="26"/>
      <c r="C1114" s="17" t="s">
        <v>151</v>
      </c>
      <c r="D1114" s="23" t="s">
        <v>1192</v>
      </c>
      <c r="E1114" s="36" t="s">
        <v>478</v>
      </c>
      <c r="F1114" s="38"/>
      <c r="I1114" s="57"/>
      <c r="J1114" s="57"/>
      <c r="M1114" s="15"/>
    </row>
    <row r="1115" ht="63.0" customHeight="1">
      <c r="A1115" s="26"/>
      <c r="B1115" s="26"/>
      <c r="C1115" s="17" t="s">
        <v>151</v>
      </c>
      <c r="D1115" s="23" t="s">
        <v>1193</v>
      </c>
      <c r="E1115" s="36" t="s">
        <v>478</v>
      </c>
      <c r="F1115" s="38"/>
      <c r="I1115" s="57"/>
      <c r="J1115" s="57"/>
      <c r="M1115" s="15"/>
    </row>
    <row r="1116" ht="63.0" customHeight="1">
      <c r="A1116" s="26"/>
      <c r="B1116" s="26"/>
      <c r="C1116" s="17" t="s">
        <v>151</v>
      </c>
      <c r="D1116" s="23" t="s">
        <v>1193</v>
      </c>
      <c r="E1116" s="36" t="s">
        <v>478</v>
      </c>
      <c r="F1116" s="38"/>
      <c r="I1116" s="57"/>
      <c r="J1116" s="57"/>
      <c r="M1116" s="15"/>
    </row>
    <row r="1117" ht="63.0" customHeight="1">
      <c r="A1117" s="26"/>
      <c r="B1117" s="26"/>
      <c r="C1117" s="17" t="s">
        <v>151</v>
      </c>
      <c r="D1117" s="23" t="s">
        <v>1194</v>
      </c>
      <c r="E1117" s="36" t="s">
        <v>478</v>
      </c>
      <c r="F1117" s="38"/>
      <c r="I1117" s="57"/>
      <c r="J1117" s="57"/>
      <c r="M1117" s="15"/>
    </row>
    <row r="1118" ht="63.0" customHeight="1">
      <c r="A1118" s="26"/>
      <c r="B1118" s="26"/>
      <c r="C1118" s="17" t="s">
        <v>151</v>
      </c>
      <c r="D1118" s="23" t="s">
        <v>1194</v>
      </c>
      <c r="E1118" s="36" t="s">
        <v>478</v>
      </c>
      <c r="F1118" s="38"/>
      <c r="I1118" s="57"/>
      <c r="J1118" s="57"/>
      <c r="M1118" s="15"/>
    </row>
    <row r="1119" ht="63.0" customHeight="1">
      <c r="A1119" s="26"/>
      <c r="B1119" s="26"/>
      <c r="C1119" s="17" t="s">
        <v>151</v>
      </c>
      <c r="D1119" s="23" t="s">
        <v>1256</v>
      </c>
      <c r="E1119" s="36" t="s">
        <v>478</v>
      </c>
      <c r="F1119" s="38"/>
      <c r="I1119" s="57"/>
      <c r="J1119" s="57"/>
      <c r="M1119" s="15"/>
    </row>
    <row r="1120" ht="63.0" customHeight="1">
      <c r="A1120" s="26"/>
      <c r="B1120" s="26"/>
      <c r="C1120" s="17" t="s">
        <v>151</v>
      </c>
      <c r="D1120" s="23" t="s">
        <v>1256</v>
      </c>
      <c r="E1120" s="36" t="s">
        <v>478</v>
      </c>
      <c r="F1120" s="38"/>
      <c r="I1120" s="57"/>
      <c r="J1120" s="57"/>
      <c r="M1120" s="15"/>
    </row>
    <row r="1121" ht="63.0" customHeight="1">
      <c r="A1121" s="26"/>
      <c r="B1121" s="26"/>
      <c r="C1121" s="17" t="s">
        <v>151</v>
      </c>
      <c r="D1121" s="23" t="s">
        <v>1218</v>
      </c>
      <c r="E1121" s="36" t="s">
        <v>478</v>
      </c>
      <c r="F1121" s="38"/>
      <c r="I1121" s="57"/>
      <c r="J1121" s="57"/>
      <c r="M1121" s="15"/>
    </row>
    <row r="1122" ht="63.0" customHeight="1">
      <c r="A1122" s="26"/>
      <c r="B1122" s="26"/>
      <c r="C1122" s="17" t="s">
        <v>151</v>
      </c>
      <c r="D1122" s="23" t="s">
        <v>1257</v>
      </c>
      <c r="E1122" s="36" t="s">
        <v>478</v>
      </c>
      <c r="F1122" s="38"/>
      <c r="I1122" s="57"/>
      <c r="J1122" s="57"/>
      <c r="M1122" s="15"/>
    </row>
    <row r="1123" ht="63.0" customHeight="1">
      <c r="A1123" s="26"/>
      <c r="B1123" s="26"/>
      <c r="C1123" s="17" t="s">
        <v>151</v>
      </c>
      <c r="D1123" s="23" t="s">
        <v>1257</v>
      </c>
      <c r="E1123" s="36" t="s">
        <v>478</v>
      </c>
      <c r="F1123" s="38"/>
      <c r="I1123" s="57"/>
      <c r="J1123" s="57"/>
      <c r="M1123" s="15"/>
    </row>
    <row r="1124" ht="63.0" customHeight="1">
      <c r="A1124" s="26"/>
      <c r="B1124" s="26"/>
      <c r="C1124" s="17" t="s">
        <v>151</v>
      </c>
      <c r="D1124" s="23" t="s">
        <v>1258</v>
      </c>
      <c r="E1124" s="36" t="s">
        <v>478</v>
      </c>
      <c r="F1124" s="38"/>
      <c r="I1124" s="57"/>
      <c r="J1124" s="57"/>
      <c r="M1124" s="15"/>
    </row>
    <row r="1125" ht="63.0" customHeight="1">
      <c r="A1125" s="26"/>
      <c r="B1125" s="26"/>
      <c r="C1125" s="17" t="s">
        <v>151</v>
      </c>
      <c r="D1125" s="23" t="s">
        <v>1258</v>
      </c>
      <c r="E1125" s="36" t="s">
        <v>478</v>
      </c>
      <c r="F1125" s="38"/>
      <c r="I1125" s="57"/>
      <c r="J1125" s="57"/>
      <c r="M1125" s="15"/>
    </row>
    <row r="1126" ht="63.0" customHeight="1">
      <c r="A1126" s="26"/>
      <c r="B1126" s="26"/>
      <c r="C1126" s="17" t="s">
        <v>151</v>
      </c>
      <c r="D1126" s="23" t="s">
        <v>1219</v>
      </c>
      <c r="E1126" s="36" t="s">
        <v>478</v>
      </c>
      <c r="F1126" s="38"/>
      <c r="I1126" s="57"/>
      <c r="J1126" s="57"/>
      <c r="M1126" s="15"/>
    </row>
    <row r="1127" ht="63.0" customHeight="1">
      <c r="A1127" s="26"/>
      <c r="B1127" s="26"/>
      <c r="C1127" s="17" t="s">
        <v>151</v>
      </c>
      <c r="D1127" s="23" t="s">
        <v>1259</v>
      </c>
      <c r="E1127" s="36" t="s">
        <v>478</v>
      </c>
      <c r="F1127" s="38"/>
      <c r="I1127" s="57"/>
      <c r="J1127" s="57"/>
      <c r="M1127" s="15"/>
    </row>
    <row r="1128" ht="63.0" customHeight="1">
      <c r="A1128" s="26"/>
      <c r="B1128" s="26"/>
      <c r="C1128" s="17" t="s">
        <v>151</v>
      </c>
      <c r="D1128" s="23" t="s">
        <v>1259</v>
      </c>
      <c r="E1128" s="36" t="s">
        <v>478</v>
      </c>
      <c r="F1128" s="38"/>
      <c r="I1128" s="57"/>
      <c r="J1128" s="57"/>
      <c r="M1128" s="15"/>
    </row>
    <row r="1129" ht="63.0" customHeight="1">
      <c r="A1129" s="26"/>
      <c r="B1129" s="26"/>
      <c r="C1129" s="17" t="s">
        <v>151</v>
      </c>
      <c r="D1129" s="23" t="s">
        <v>1260</v>
      </c>
      <c r="E1129" s="36" t="s">
        <v>478</v>
      </c>
      <c r="F1129" s="38"/>
      <c r="I1129" s="57"/>
      <c r="J1129" s="57"/>
      <c r="M1129" s="15"/>
    </row>
    <row r="1130" ht="63.0" customHeight="1">
      <c r="A1130" s="26"/>
      <c r="B1130" s="26"/>
      <c r="C1130" s="17" t="s">
        <v>151</v>
      </c>
      <c r="D1130" s="23" t="s">
        <v>1260</v>
      </c>
      <c r="E1130" s="36" t="s">
        <v>478</v>
      </c>
      <c r="F1130" s="38"/>
      <c r="I1130" s="57"/>
      <c r="J1130" s="57"/>
      <c r="M1130" s="15"/>
    </row>
    <row r="1131" ht="63.0" customHeight="1">
      <c r="A1131" s="26"/>
      <c r="B1131" s="26"/>
      <c r="C1131" s="17" t="s">
        <v>151</v>
      </c>
      <c r="D1131" s="23" t="s">
        <v>1261</v>
      </c>
      <c r="E1131" s="36" t="s">
        <v>478</v>
      </c>
      <c r="F1131" s="38"/>
      <c r="I1131" s="57"/>
      <c r="J1131" s="57"/>
      <c r="M1131" s="15"/>
    </row>
    <row r="1132" ht="63.0" customHeight="1">
      <c r="A1132" s="26"/>
      <c r="B1132" s="26"/>
      <c r="C1132" s="17" t="s">
        <v>151</v>
      </c>
      <c r="D1132" s="23" t="s">
        <v>1261</v>
      </c>
      <c r="E1132" s="36" t="s">
        <v>478</v>
      </c>
      <c r="F1132" s="38"/>
      <c r="I1132" s="57"/>
      <c r="J1132" s="57"/>
      <c r="M1132" s="15"/>
    </row>
    <row r="1133" ht="63.0" customHeight="1">
      <c r="A1133" s="26"/>
      <c r="B1133" s="26"/>
      <c r="C1133" s="17" t="s">
        <v>151</v>
      </c>
      <c r="D1133" s="23" t="s">
        <v>1262</v>
      </c>
      <c r="E1133" s="36" t="s">
        <v>478</v>
      </c>
      <c r="F1133" s="38"/>
      <c r="I1133" s="57"/>
      <c r="J1133" s="57"/>
      <c r="M1133" s="15"/>
    </row>
    <row r="1134" ht="63.0" customHeight="1">
      <c r="A1134" s="26"/>
      <c r="B1134" s="26"/>
      <c r="C1134" s="17" t="s">
        <v>151</v>
      </c>
      <c r="D1134" s="23" t="s">
        <v>1262</v>
      </c>
      <c r="E1134" s="36" t="s">
        <v>478</v>
      </c>
      <c r="F1134" s="38"/>
      <c r="I1134" s="57"/>
      <c r="J1134" s="57"/>
      <c r="M1134" s="15"/>
    </row>
    <row r="1135" ht="63.0" customHeight="1">
      <c r="A1135" s="26"/>
      <c r="B1135" s="26"/>
      <c r="C1135" s="17" t="s">
        <v>151</v>
      </c>
      <c r="D1135" s="23" t="s">
        <v>1263</v>
      </c>
      <c r="E1135" s="36" t="s">
        <v>478</v>
      </c>
      <c r="F1135" s="38"/>
      <c r="I1135" s="57"/>
      <c r="J1135" s="57"/>
      <c r="M1135" s="15"/>
    </row>
    <row r="1136" ht="63.0" customHeight="1">
      <c r="A1136" s="26"/>
      <c r="B1136" s="26"/>
      <c r="C1136" s="17" t="s">
        <v>151</v>
      </c>
      <c r="D1136" s="23" t="s">
        <v>1263</v>
      </c>
      <c r="E1136" s="36" t="s">
        <v>478</v>
      </c>
      <c r="F1136" s="38"/>
      <c r="I1136" s="57"/>
      <c r="J1136" s="57"/>
      <c r="M1136" s="15"/>
    </row>
    <row r="1137" ht="63.0" customHeight="1">
      <c r="A1137" s="26"/>
      <c r="B1137" s="26"/>
      <c r="C1137" s="17" t="s">
        <v>151</v>
      </c>
      <c r="D1137" s="23" t="s">
        <v>1264</v>
      </c>
      <c r="E1137" s="36" t="s">
        <v>478</v>
      </c>
      <c r="F1137" s="38"/>
      <c r="I1137" s="57"/>
      <c r="J1137" s="57"/>
      <c r="M1137" s="15"/>
    </row>
    <row r="1138" ht="63.0" customHeight="1">
      <c r="A1138" s="26"/>
      <c r="B1138" s="26"/>
      <c r="C1138" s="17" t="s">
        <v>151</v>
      </c>
      <c r="D1138" s="23" t="s">
        <v>1264</v>
      </c>
      <c r="E1138" s="36" t="s">
        <v>478</v>
      </c>
      <c r="F1138" s="38"/>
      <c r="I1138" s="57"/>
      <c r="J1138" s="57"/>
      <c r="M1138" s="15"/>
    </row>
    <row r="1139" ht="63.0" customHeight="1">
      <c r="A1139" s="26"/>
      <c r="B1139" s="26"/>
      <c r="C1139" s="17" t="s">
        <v>151</v>
      </c>
      <c r="D1139" s="23" t="s">
        <v>1220</v>
      </c>
      <c r="E1139" s="36" t="s">
        <v>478</v>
      </c>
      <c r="F1139" s="38"/>
      <c r="I1139" s="57"/>
      <c r="J1139" s="57"/>
      <c r="M1139" s="15"/>
    </row>
    <row r="1140" ht="63.0" customHeight="1">
      <c r="A1140" s="26"/>
      <c r="B1140" s="26"/>
      <c r="C1140" s="17" t="s">
        <v>151</v>
      </c>
      <c r="D1140" s="23" t="s">
        <v>1195</v>
      </c>
      <c r="E1140" s="36" t="s">
        <v>478</v>
      </c>
      <c r="F1140" s="38"/>
      <c r="I1140" s="57"/>
      <c r="J1140" s="57"/>
      <c r="M1140" s="15"/>
    </row>
    <row r="1141" ht="63.0" customHeight="1">
      <c r="A1141" s="26"/>
      <c r="B1141" s="26"/>
      <c r="C1141" s="17" t="s">
        <v>151</v>
      </c>
      <c r="D1141" s="23" t="s">
        <v>1195</v>
      </c>
      <c r="E1141" s="36" t="s">
        <v>478</v>
      </c>
      <c r="F1141" s="38"/>
      <c r="I1141" s="57"/>
      <c r="J1141" s="57"/>
      <c r="M1141" s="15"/>
    </row>
    <row r="1142" ht="63.0" customHeight="1">
      <c r="A1142" s="26"/>
      <c r="B1142" s="26"/>
      <c r="C1142" s="17" t="s">
        <v>151</v>
      </c>
      <c r="D1142" s="23" t="s">
        <v>1265</v>
      </c>
      <c r="E1142" s="36" t="s">
        <v>478</v>
      </c>
      <c r="F1142" s="38"/>
      <c r="I1142" s="57"/>
      <c r="J1142" s="57"/>
      <c r="M1142" s="15"/>
    </row>
    <row r="1143" ht="63.0" customHeight="1">
      <c r="A1143" s="26"/>
      <c r="B1143" s="26"/>
      <c r="C1143" s="17" t="s">
        <v>151</v>
      </c>
      <c r="D1143" s="23" t="s">
        <v>1265</v>
      </c>
      <c r="E1143" s="36" t="s">
        <v>478</v>
      </c>
      <c r="F1143" s="38"/>
      <c r="I1143" s="57"/>
      <c r="J1143" s="57"/>
      <c r="M1143" s="15"/>
    </row>
    <row r="1144" ht="63.0" customHeight="1">
      <c r="A1144" s="26"/>
      <c r="B1144" s="26"/>
      <c r="C1144" s="17" t="s">
        <v>151</v>
      </c>
      <c r="D1144" s="23" t="s">
        <v>1266</v>
      </c>
      <c r="E1144" s="36" t="s">
        <v>478</v>
      </c>
      <c r="F1144" s="38"/>
      <c r="I1144" s="57"/>
      <c r="J1144" s="57"/>
      <c r="M1144" s="15"/>
    </row>
    <row r="1145" ht="63.0" customHeight="1">
      <c r="A1145" s="26"/>
      <c r="B1145" s="26"/>
      <c r="C1145" s="17" t="s">
        <v>151</v>
      </c>
      <c r="D1145" s="23" t="s">
        <v>1266</v>
      </c>
      <c r="E1145" s="36" t="s">
        <v>478</v>
      </c>
      <c r="F1145" s="38"/>
      <c r="I1145" s="57"/>
      <c r="J1145" s="57"/>
      <c r="M1145" s="15"/>
    </row>
    <row r="1146" ht="63.0" customHeight="1">
      <c r="A1146" s="26"/>
      <c r="B1146" s="26"/>
      <c r="C1146" s="17" t="s">
        <v>151</v>
      </c>
      <c r="D1146" s="23" t="s">
        <v>1196</v>
      </c>
      <c r="E1146" s="36" t="s">
        <v>478</v>
      </c>
      <c r="F1146" s="38"/>
      <c r="I1146" s="57"/>
      <c r="J1146" s="57"/>
      <c r="M1146" s="15"/>
    </row>
    <row r="1147" ht="63.0" customHeight="1">
      <c r="A1147" s="26"/>
      <c r="B1147" s="26"/>
      <c r="C1147" s="17" t="s">
        <v>151</v>
      </c>
      <c r="D1147" s="23" t="s">
        <v>1267</v>
      </c>
      <c r="E1147" s="36" t="s">
        <v>478</v>
      </c>
      <c r="F1147" s="38"/>
      <c r="I1147" s="57"/>
      <c r="J1147" s="57"/>
      <c r="M1147" s="15"/>
    </row>
    <row r="1148" ht="63.0" customHeight="1">
      <c r="A1148" s="26"/>
      <c r="B1148" s="26"/>
      <c r="C1148" s="17" t="s">
        <v>151</v>
      </c>
      <c r="D1148" s="23" t="s">
        <v>1267</v>
      </c>
      <c r="E1148" s="36" t="s">
        <v>478</v>
      </c>
      <c r="F1148" s="38"/>
      <c r="I1148" s="57"/>
      <c r="J1148" s="57"/>
      <c r="M1148" s="15"/>
    </row>
    <row r="1149" ht="63.0" customHeight="1">
      <c r="A1149" s="26"/>
      <c r="B1149" s="26"/>
      <c r="C1149" s="17" t="s">
        <v>151</v>
      </c>
      <c r="D1149" s="23" t="s">
        <v>1221</v>
      </c>
      <c r="E1149" s="36" t="s">
        <v>478</v>
      </c>
      <c r="F1149" s="38"/>
      <c r="I1149" s="57"/>
      <c r="J1149" s="57"/>
      <c r="M1149" s="15"/>
    </row>
    <row r="1150" ht="63.0" customHeight="1">
      <c r="A1150" s="26"/>
      <c r="B1150" s="26"/>
      <c r="C1150" s="17" t="s">
        <v>151</v>
      </c>
      <c r="D1150" s="23" t="s">
        <v>1268</v>
      </c>
      <c r="E1150" s="36" t="s">
        <v>478</v>
      </c>
      <c r="F1150" s="38"/>
      <c r="I1150" s="57"/>
      <c r="J1150" s="57"/>
      <c r="M1150" s="15"/>
    </row>
    <row r="1151" ht="63.0" customHeight="1">
      <c r="A1151" s="26"/>
      <c r="B1151" s="26"/>
      <c r="C1151" s="17" t="s">
        <v>151</v>
      </c>
      <c r="D1151" s="23" t="s">
        <v>1268</v>
      </c>
      <c r="E1151" s="36" t="s">
        <v>478</v>
      </c>
      <c r="F1151" s="38"/>
      <c r="I1151" s="57"/>
      <c r="J1151" s="57"/>
      <c r="M1151" s="15"/>
    </row>
    <row r="1152" ht="63.0" customHeight="1">
      <c r="A1152" s="26"/>
      <c r="B1152" s="26"/>
      <c r="C1152" s="17" t="s">
        <v>151</v>
      </c>
      <c r="D1152" s="23" t="s">
        <v>1222</v>
      </c>
      <c r="E1152" s="36" t="s">
        <v>478</v>
      </c>
      <c r="F1152" s="38"/>
      <c r="I1152" s="57"/>
      <c r="J1152" s="57"/>
      <c r="M1152" s="15"/>
    </row>
    <row r="1153" ht="63.0" customHeight="1">
      <c r="A1153" s="26"/>
      <c r="B1153" s="26"/>
      <c r="C1153" s="17" t="s">
        <v>151</v>
      </c>
      <c r="D1153" s="23" t="s">
        <v>1269</v>
      </c>
      <c r="E1153" s="36" t="s">
        <v>478</v>
      </c>
      <c r="F1153" s="38"/>
      <c r="I1153" s="57"/>
      <c r="J1153" s="57"/>
      <c r="M1153" s="15"/>
    </row>
    <row r="1154" ht="63.0" customHeight="1">
      <c r="A1154" s="26"/>
      <c r="B1154" s="26"/>
      <c r="C1154" s="17" t="s">
        <v>151</v>
      </c>
      <c r="D1154" s="23" t="s">
        <v>1269</v>
      </c>
      <c r="E1154" s="36" t="s">
        <v>478</v>
      </c>
      <c r="F1154" s="38"/>
      <c r="I1154" s="57"/>
      <c r="J1154" s="57"/>
      <c r="M1154" s="15"/>
    </row>
    <row r="1155" ht="63.0" customHeight="1">
      <c r="A1155" s="26"/>
      <c r="B1155" s="26"/>
      <c r="C1155" s="17" t="s">
        <v>151</v>
      </c>
      <c r="D1155" s="23" t="s">
        <v>1270</v>
      </c>
      <c r="E1155" s="36" t="s">
        <v>478</v>
      </c>
      <c r="F1155" s="38"/>
      <c r="I1155" s="57"/>
      <c r="J1155" s="57"/>
      <c r="M1155" s="15"/>
    </row>
    <row r="1156" ht="63.0" customHeight="1">
      <c r="A1156" s="26"/>
      <c r="B1156" s="26"/>
      <c r="C1156" s="17" t="s">
        <v>151</v>
      </c>
      <c r="D1156" s="23" t="s">
        <v>1270</v>
      </c>
      <c r="E1156" s="36" t="s">
        <v>478</v>
      </c>
      <c r="F1156" s="38"/>
      <c r="I1156" s="57"/>
      <c r="J1156" s="57"/>
      <c r="M1156" s="15"/>
    </row>
    <row r="1157" ht="63.0" customHeight="1">
      <c r="A1157" s="26"/>
      <c r="B1157" s="26"/>
      <c r="C1157" s="17" t="s">
        <v>151</v>
      </c>
      <c r="D1157" s="23" t="s">
        <v>1271</v>
      </c>
      <c r="E1157" s="36" t="s">
        <v>478</v>
      </c>
      <c r="F1157" s="38"/>
      <c r="I1157" s="57"/>
      <c r="J1157" s="57"/>
      <c r="M1157" s="15"/>
    </row>
    <row r="1158" ht="63.0" customHeight="1">
      <c r="A1158" s="26"/>
      <c r="B1158" s="26"/>
      <c r="C1158" s="17" t="s">
        <v>151</v>
      </c>
      <c r="D1158" s="23" t="s">
        <v>1271</v>
      </c>
      <c r="E1158" s="36" t="s">
        <v>478</v>
      </c>
      <c r="F1158" s="38"/>
      <c r="I1158" s="57"/>
      <c r="J1158" s="57"/>
      <c r="M1158" s="15"/>
    </row>
    <row r="1159" ht="63.0" customHeight="1">
      <c r="A1159" s="26"/>
      <c r="B1159" s="26"/>
      <c r="C1159" s="17" t="s">
        <v>151</v>
      </c>
      <c r="D1159" s="23" t="s">
        <v>1272</v>
      </c>
      <c r="E1159" s="36" t="s">
        <v>478</v>
      </c>
      <c r="F1159" s="38"/>
      <c r="I1159" s="57"/>
      <c r="J1159" s="57"/>
      <c r="M1159" s="15"/>
    </row>
    <row r="1160" ht="63.0" customHeight="1">
      <c r="A1160" s="26"/>
      <c r="B1160" s="26"/>
      <c r="C1160" s="17" t="s">
        <v>151</v>
      </c>
      <c r="D1160" s="23" t="s">
        <v>1272</v>
      </c>
      <c r="E1160" s="36" t="s">
        <v>478</v>
      </c>
      <c r="F1160" s="38"/>
      <c r="I1160" s="57"/>
      <c r="J1160" s="57"/>
      <c r="M1160" s="15"/>
    </row>
    <row r="1161" ht="63.0" customHeight="1">
      <c r="A1161" s="26"/>
      <c r="B1161" s="26"/>
      <c r="C1161" s="17" t="s">
        <v>151</v>
      </c>
      <c r="D1161" s="23" t="s">
        <v>1223</v>
      </c>
      <c r="E1161" s="36" t="s">
        <v>478</v>
      </c>
      <c r="F1161" s="38"/>
      <c r="I1161" s="57"/>
      <c r="J1161" s="57"/>
      <c r="M1161" s="15"/>
    </row>
    <row r="1162" ht="63.0" customHeight="1">
      <c r="A1162" s="26"/>
      <c r="B1162" s="26"/>
      <c r="C1162" s="17" t="s">
        <v>151</v>
      </c>
      <c r="D1162" s="23" t="s">
        <v>1273</v>
      </c>
      <c r="E1162" s="36" t="s">
        <v>478</v>
      </c>
      <c r="F1162" s="38"/>
      <c r="I1162" s="57"/>
      <c r="J1162" s="57"/>
      <c r="M1162" s="15"/>
    </row>
    <row r="1163" ht="63.0" customHeight="1">
      <c r="A1163" s="26"/>
      <c r="B1163" s="26"/>
      <c r="C1163" s="17" t="s">
        <v>151</v>
      </c>
      <c r="D1163" s="23" t="s">
        <v>1273</v>
      </c>
      <c r="E1163" s="36" t="s">
        <v>478</v>
      </c>
      <c r="F1163" s="38"/>
      <c r="I1163" s="57"/>
      <c r="J1163" s="57"/>
      <c r="M1163" s="15"/>
    </row>
    <row r="1164" ht="63.0" customHeight="1">
      <c r="A1164" s="26"/>
      <c r="B1164" s="26"/>
      <c r="C1164" s="17" t="s">
        <v>151</v>
      </c>
      <c r="D1164" s="23" t="s">
        <v>1224</v>
      </c>
      <c r="E1164" s="36" t="s">
        <v>478</v>
      </c>
      <c r="F1164" s="38"/>
      <c r="I1164" s="57"/>
      <c r="J1164" s="57"/>
      <c r="M1164" s="15"/>
    </row>
    <row r="1165" ht="63.0" customHeight="1">
      <c r="A1165" s="26"/>
      <c r="B1165" s="26"/>
      <c r="C1165" s="17" t="s">
        <v>151</v>
      </c>
      <c r="D1165" s="23" t="s">
        <v>1274</v>
      </c>
      <c r="E1165" s="36" t="s">
        <v>478</v>
      </c>
      <c r="F1165" s="38"/>
      <c r="I1165" s="57"/>
      <c r="J1165" s="57"/>
      <c r="M1165" s="15"/>
    </row>
    <row r="1166" ht="63.0" customHeight="1">
      <c r="A1166" s="26"/>
      <c r="B1166" s="26"/>
      <c r="C1166" s="17" t="s">
        <v>151</v>
      </c>
      <c r="D1166" s="23" t="s">
        <v>1274</v>
      </c>
      <c r="E1166" s="36" t="s">
        <v>478</v>
      </c>
      <c r="F1166" s="38"/>
      <c r="I1166" s="57"/>
      <c r="J1166" s="57"/>
      <c r="M1166" s="15"/>
    </row>
    <row r="1167" ht="63.0" customHeight="1">
      <c r="A1167" s="26"/>
      <c r="B1167" s="26"/>
      <c r="C1167" s="17" t="s">
        <v>151</v>
      </c>
      <c r="D1167" s="23" t="s">
        <v>1479</v>
      </c>
      <c r="E1167" s="36" t="s">
        <v>673</v>
      </c>
      <c r="F1167" s="38"/>
      <c r="I1167" s="57"/>
      <c r="J1167" s="57"/>
      <c r="M1167" s="15"/>
    </row>
    <row r="1168" ht="63.0" customHeight="1">
      <c r="A1168" s="26"/>
      <c r="B1168" s="26"/>
      <c r="C1168" s="17" t="s">
        <v>151</v>
      </c>
      <c r="D1168" s="23" t="s">
        <v>1480</v>
      </c>
      <c r="E1168" s="36" t="s">
        <v>632</v>
      </c>
      <c r="F1168" s="38"/>
      <c r="I1168" s="57"/>
      <c r="J1168" s="57"/>
      <c r="M1168" s="15"/>
    </row>
    <row r="1169" ht="63.0" customHeight="1">
      <c r="A1169" s="26"/>
      <c r="B1169" s="26"/>
      <c r="C1169" s="17" t="s">
        <v>151</v>
      </c>
      <c r="D1169" s="23" t="s">
        <v>1481</v>
      </c>
      <c r="E1169" s="36" t="s">
        <v>632</v>
      </c>
      <c r="F1169" s="38"/>
      <c r="I1169" s="57"/>
      <c r="J1169" s="57"/>
      <c r="M1169" s="15"/>
    </row>
    <row r="1170" ht="63.0" customHeight="1">
      <c r="A1170" s="26"/>
      <c r="B1170" s="26"/>
      <c r="C1170" s="17" t="s">
        <v>151</v>
      </c>
      <c r="D1170" s="23" t="s">
        <v>1482</v>
      </c>
      <c r="E1170" s="36" t="s">
        <v>632</v>
      </c>
      <c r="F1170" s="38"/>
      <c r="I1170" s="57"/>
      <c r="J1170" s="57"/>
      <c r="M1170" s="15"/>
    </row>
    <row r="1171" ht="63.0" customHeight="1">
      <c r="A1171" s="26"/>
      <c r="B1171" s="26"/>
      <c r="C1171" s="17" t="s">
        <v>151</v>
      </c>
      <c r="D1171" s="23" t="s">
        <v>1483</v>
      </c>
      <c r="E1171" s="36" t="s">
        <v>632</v>
      </c>
      <c r="F1171" s="38"/>
      <c r="I1171" s="57"/>
      <c r="J1171" s="57"/>
      <c r="M1171" s="15"/>
    </row>
    <row r="1172" ht="63.0" customHeight="1">
      <c r="A1172" s="26"/>
      <c r="B1172" s="26"/>
      <c r="C1172" s="17" t="s">
        <v>151</v>
      </c>
      <c r="D1172" s="23" t="s">
        <v>1484</v>
      </c>
      <c r="E1172" s="36" t="s">
        <v>632</v>
      </c>
      <c r="F1172" s="38"/>
      <c r="I1172" s="57"/>
      <c r="J1172" s="57"/>
      <c r="M1172" s="15"/>
    </row>
    <row r="1173" ht="63.0" customHeight="1">
      <c r="A1173" s="26"/>
      <c r="B1173" s="26"/>
      <c r="C1173" s="17" t="s">
        <v>151</v>
      </c>
      <c r="D1173" s="23" t="s">
        <v>1485</v>
      </c>
      <c r="E1173" s="36" t="s">
        <v>632</v>
      </c>
      <c r="F1173" s="38"/>
      <c r="I1173" s="57"/>
      <c r="J1173" s="57"/>
      <c r="M1173" s="15"/>
    </row>
    <row r="1174" ht="63.0" customHeight="1">
      <c r="A1174" s="26"/>
      <c r="B1174" s="26"/>
      <c r="C1174" s="17" t="s">
        <v>151</v>
      </c>
      <c r="D1174" s="23" t="s">
        <v>1486</v>
      </c>
      <c r="E1174" s="36" t="s">
        <v>632</v>
      </c>
      <c r="F1174" s="38"/>
      <c r="I1174" s="57"/>
      <c r="J1174" s="57"/>
      <c r="M1174" s="15"/>
    </row>
    <row r="1175" ht="63.0" customHeight="1">
      <c r="A1175" s="26"/>
      <c r="B1175" s="26"/>
      <c r="C1175" s="17" t="s">
        <v>151</v>
      </c>
      <c r="D1175" s="23" t="s">
        <v>1487</v>
      </c>
      <c r="E1175" s="36" t="s">
        <v>632</v>
      </c>
      <c r="F1175" s="38"/>
      <c r="I1175" s="57"/>
      <c r="J1175" s="57"/>
      <c r="M1175" s="15"/>
    </row>
    <row r="1176" ht="63.0" customHeight="1">
      <c r="A1176" s="26"/>
      <c r="B1176" s="26"/>
      <c r="C1176" s="17" t="s">
        <v>151</v>
      </c>
      <c r="D1176" s="23" t="s">
        <v>1488</v>
      </c>
      <c r="E1176" s="36" t="s">
        <v>632</v>
      </c>
      <c r="F1176" s="38"/>
      <c r="I1176" s="57"/>
      <c r="J1176" s="57"/>
      <c r="M1176" s="15"/>
    </row>
    <row r="1177" ht="63.0" customHeight="1">
      <c r="A1177" s="26"/>
      <c r="B1177" s="26"/>
      <c r="C1177" s="17" t="s">
        <v>151</v>
      </c>
      <c r="D1177" s="23" t="s">
        <v>1489</v>
      </c>
      <c r="E1177" s="36" t="s">
        <v>632</v>
      </c>
      <c r="F1177" s="38"/>
      <c r="I1177" s="57"/>
      <c r="J1177" s="57"/>
      <c r="M1177" s="15"/>
    </row>
    <row r="1178" ht="63.0" customHeight="1">
      <c r="A1178" s="26"/>
      <c r="B1178" s="26"/>
      <c r="C1178" s="17" t="s">
        <v>151</v>
      </c>
      <c r="D1178" s="23" t="s">
        <v>1490</v>
      </c>
      <c r="E1178" s="36" t="s">
        <v>632</v>
      </c>
      <c r="F1178" s="38"/>
      <c r="I1178" s="57"/>
      <c r="J1178" s="57"/>
      <c r="M1178" s="15"/>
    </row>
    <row r="1179" ht="63.0" customHeight="1">
      <c r="A1179" s="26"/>
      <c r="B1179" s="26"/>
      <c r="C1179" s="17" t="s">
        <v>151</v>
      </c>
      <c r="D1179" s="23" t="s">
        <v>1491</v>
      </c>
      <c r="E1179" s="36" t="s">
        <v>632</v>
      </c>
      <c r="F1179" s="38"/>
      <c r="I1179" s="57"/>
      <c r="J1179" s="57"/>
      <c r="M1179" s="15"/>
    </row>
    <row r="1180" ht="63.0" customHeight="1">
      <c r="A1180" s="26"/>
      <c r="B1180" s="26"/>
      <c r="C1180" s="17" t="s">
        <v>151</v>
      </c>
      <c r="D1180" s="23" t="s">
        <v>1491</v>
      </c>
      <c r="E1180" s="36" t="s">
        <v>632</v>
      </c>
      <c r="F1180" s="38"/>
      <c r="I1180" s="57"/>
      <c r="J1180" s="57"/>
      <c r="M1180" s="15"/>
    </row>
    <row r="1181" ht="63.0" customHeight="1">
      <c r="A1181" s="26"/>
      <c r="B1181" s="26"/>
      <c r="C1181" s="17" t="s">
        <v>151</v>
      </c>
      <c r="D1181" s="23" t="s">
        <v>1492</v>
      </c>
      <c r="E1181" s="36" t="s">
        <v>632</v>
      </c>
      <c r="F1181" s="38"/>
      <c r="I1181" s="57"/>
      <c r="J1181" s="57"/>
      <c r="M1181" s="15"/>
    </row>
    <row r="1182" ht="63.0" customHeight="1">
      <c r="A1182" s="26"/>
      <c r="B1182" s="26"/>
      <c r="C1182" s="17" t="s">
        <v>151</v>
      </c>
      <c r="D1182" s="23" t="s">
        <v>1493</v>
      </c>
      <c r="E1182" s="36" t="s">
        <v>632</v>
      </c>
      <c r="F1182" s="38"/>
      <c r="I1182" s="57"/>
      <c r="J1182" s="57"/>
      <c r="M1182" s="15"/>
    </row>
    <row r="1183" ht="63.0" customHeight="1">
      <c r="A1183" s="26"/>
      <c r="B1183" s="26"/>
      <c r="C1183" s="17" t="s">
        <v>151</v>
      </c>
      <c r="D1183" s="23" t="s">
        <v>1494</v>
      </c>
      <c r="E1183" s="36" t="s">
        <v>632</v>
      </c>
      <c r="F1183" s="38"/>
      <c r="I1183" s="57"/>
      <c r="J1183" s="57"/>
      <c r="M1183" s="15"/>
    </row>
    <row r="1184" ht="63.0" customHeight="1">
      <c r="A1184" s="26"/>
      <c r="B1184" s="26"/>
      <c r="C1184" s="17" t="s">
        <v>151</v>
      </c>
      <c r="D1184" s="23" t="s">
        <v>1495</v>
      </c>
      <c r="E1184" s="36" t="s">
        <v>632</v>
      </c>
      <c r="F1184" s="38"/>
      <c r="I1184" s="57"/>
      <c r="J1184" s="57"/>
      <c r="M1184" s="15"/>
    </row>
    <row r="1185" ht="63.0" customHeight="1">
      <c r="A1185" s="26"/>
      <c r="B1185" s="26"/>
      <c r="C1185" s="17" t="s">
        <v>151</v>
      </c>
      <c r="D1185" s="23" t="s">
        <v>1496</v>
      </c>
      <c r="E1185" s="36" t="s">
        <v>632</v>
      </c>
      <c r="F1185" s="38"/>
      <c r="I1185" s="57"/>
      <c r="J1185" s="57"/>
      <c r="M1185" s="15"/>
    </row>
    <row r="1186" ht="63.0" customHeight="1">
      <c r="A1186" s="26"/>
      <c r="B1186" s="26"/>
      <c r="C1186" s="17" t="s">
        <v>151</v>
      </c>
      <c r="D1186" s="23" t="s">
        <v>1496</v>
      </c>
      <c r="E1186" s="36" t="s">
        <v>632</v>
      </c>
      <c r="F1186" s="38"/>
      <c r="I1186" s="57"/>
      <c r="J1186" s="57"/>
      <c r="M1186" s="15"/>
    </row>
    <row r="1187" ht="63.0" customHeight="1">
      <c r="A1187" s="26"/>
      <c r="B1187" s="26"/>
      <c r="C1187" s="17" t="s">
        <v>151</v>
      </c>
      <c r="D1187" s="23" t="s">
        <v>1497</v>
      </c>
      <c r="E1187" s="36" t="s">
        <v>632</v>
      </c>
      <c r="F1187" s="38"/>
      <c r="I1187" s="57"/>
      <c r="J1187" s="57"/>
      <c r="M1187" s="15"/>
    </row>
    <row r="1188" ht="63.0" customHeight="1">
      <c r="A1188" s="26"/>
      <c r="B1188" s="26"/>
      <c r="C1188" s="17" t="s">
        <v>151</v>
      </c>
      <c r="D1188" s="23" t="s">
        <v>1498</v>
      </c>
      <c r="E1188" s="36" t="s">
        <v>632</v>
      </c>
      <c r="F1188" s="38"/>
      <c r="I1188" s="57"/>
      <c r="J1188" s="57"/>
      <c r="M1188" s="15"/>
    </row>
    <row r="1189" ht="63.0" customHeight="1">
      <c r="A1189" s="26"/>
      <c r="B1189" s="26"/>
      <c r="C1189" s="17" t="s">
        <v>151</v>
      </c>
      <c r="D1189" s="23" t="s">
        <v>877</v>
      </c>
      <c r="E1189" s="36" t="s">
        <v>630</v>
      </c>
      <c r="F1189" s="38"/>
      <c r="I1189" s="57"/>
      <c r="J1189" s="57"/>
      <c r="M1189" s="15"/>
    </row>
    <row r="1190" ht="63.0" customHeight="1">
      <c r="A1190" s="26"/>
      <c r="B1190" s="26"/>
      <c r="C1190" s="17" t="s">
        <v>151</v>
      </c>
      <c r="D1190" s="23" t="s">
        <v>877</v>
      </c>
      <c r="E1190" s="36" t="s">
        <v>630</v>
      </c>
      <c r="F1190" s="38"/>
      <c r="I1190" s="57"/>
      <c r="J1190" s="57"/>
      <c r="M1190" s="15"/>
    </row>
    <row r="1191" ht="63.0" customHeight="1">
      <c r="A1191" s="26"/>
      <c r="B1191" s="26"/>
      <c r="C1191" s="17" t="s">
        <v>151</v>
      </c>
      <c r="D1191" s="23" t="s">
        <v>877</v>
      </c>
      <c r="E1191" s="36" t="s">
        <v>630</v>
      </c>
      <c r="F1191" s="38"/>
      <c r="I1191" s="57"/>
      <c r="J1191" s="57"/>
      <c r="M1191" s="15"/>
    </row>
    <row r="1192" ht="63.0" customHeight="1">
      <c r="A1192" s="26"/>
      <c r="B1192" s="26"/>
      <c r="C1192" s="17" t="s">
        <v>151</v>
      </c>
      <c r="D1192" s="23" t="s">
        <v>629</v>
      </c>
      <c r="E1192" s="36" t="s">
        <v>630</v>
      </c>
      <c r="F1192" s="38"/>
      <c r="I1192" s="57"/>
      <c r="J1192" s="57"/>
      <c r="M1192" s="15"/>
    </row>
    <row r="1193" ht="63.0" customHeight="1">
      <c r="A1193" s="26"/>
      <c r="B1193" s="26"/>
      <c r="C1193" s="17" t="s">
        <v>151</v>
      </c>
      <c r="D1193" s="23" t="s">
        <v>1499</v>
      </c>
      <c r="E1193" s="36" t="s">
        <v>632</v>
      </c>
      <c r="F1193" s="38"/>
      <c r="I1193" s="57"/>
      <c r="J1193" s="57"/>
      <c r="M1193" s="15"/>
    </row>
    <row r="1194" ht="63.0" customHeight="1">
      <c r="A1194" s="26"/>
      <c r="B1194" s="26"/>
      <c r="C1194" s="17" t="s">
        <v>151</v>
      </c>
      <c r="D1194" s="23" t="s">
        <v>1500</v>
      </c>
      <c r="E1194" s="36" t="s">
        <v>673</v>
      </c>
      <c r="F1194" s="38"/>
      <c r="I1194" s="57"/>
      <c r="J1194" s="57"/>
      <c r="M1194" s="15"/>
    </row>
    <row r="1195" ht="63.0" customHeight="1">
      <c r="A1195" s="26"/>
      <c r="B1195" s="26"/>
      <c r="C1195" s="17" t="s">
        <v>151</v>
      </c>
      <c r="D1195" s="23" t="s">
        <v>877</v>
      </c>
      <c r="E1195" s="36" t="s">
        <v>630</v>
      </c>
      <c r="F1195" s="38"/>
      <c r="I1195" s="57"/>
      <c r="J1195" s="57"/>
      <c r="M1195" s="15"/>
    </row>
    <row r="1196" ht="63.0" customHeight="1">
      <c r="A1196" s="26"/>
      <c r="B1196" s="26"/>
      <c r="C1196" s="17" t="s">
        <v>151</v>
      </c>
      <c r="D1196" s="23" t="s">
        <v>629</v>
      </c>
      <c r="E1196" s="36" t="s">
        <v>630</v>
      </c>
      <c r="F1196" s="38"/>
      <c r="I1196" s="57"/>
      <c r="J1196" s="57"/>
      <c r="M1196" s="15"/>
    </row>
    <row r="1197" ht="63.0" customHeight="1">
      <c r="A1197" s="26"/>
      <c r="B1197" s="26"/>
      <c r="C1197" s="17" t="s">
        <v>151</v>
      </c>
      <c r="D1197" s="23" t="s">
        <v>629</v>
      </c>
      <c r="E1197" s="36" t="s">
        <v>630</v>
      </c>
      <c r="F1197" s="38"/>
      <c r="I1197" s="57"/>
      <c r="J1197" s="57"/>
      <c r="M1197" s="15"/>
    </row>
    <row r="1198" ht="63.0" customHeight="1">
      <c r="A1198" s="26"/>
      <c r="B1198" s="26"/>
      <c r="C1198" s="17" t="s">
        <v>151</v>
      </c>
      <c r="D1198" s="23" t="s">
        <v>629</v>
      </c>
      <c r="E1198" s="36" t="s">
        <v>630</v>
      </c>
      <c r="F1198" s="38"/>
      <c r="I1198" s="57"/>
      <c r="J1198" s="57"/>
      <c r="M1198" s="15"/>
    </row>
    <row r="1199" ht="63.0" customHeight="1">
      <c r="A1199" s="26"/>
      <c r="B1199" s="26"/>
      <c r="C1199" s="17" t="s">
        <v>151</v>
      </c>
      <c r="D1199" s="23" t="s">
        <v>629</v>
      </c>
      <c r="E1199" s="36" t="s">
        <v>630</v>
      </c>
      <c r="F1199" s="38"/>
      <c r="I1199" s="57"/>
      <c r="J1199" s="57"/>
      <c r="M1199" s="15"/>
    </row>
    <row r="1200" ht="63.0" customHeight="1">
      <c r="A1200" s="26"/>
      <c r="B1200" s="26"/>
      <c r="C1200" s="17" t="s">
        <v>151</v>
      </c>
      <c r="D1200" s="23" t="s">
        <v>629</v>
      </c>
      <c r="E1200" s="36" t="s">
        <v>630</v>
      </c>
      <c r="F1200" s="38"/>
      <c r="I1200" s="57"/>
      <c r="J1200" s="57"/>
      <c r="M1200" s="15"/>
    </row>
    <row r="1201" ht="63.0" customHeight="1">
      <c r="A1201" s="26"/>
      <c r="B1201" s="26"/>
      <c r="C1201" s="17" t="s">
        <v>151</v>
      </c>
      <c r="D1201" s="23" t="s">
        <v>1501</v>
      </c>
      <c r="E1201" s="36" t="s">
        <v>632</v>
      </c>
      <c r="F1201" s="38"/>
      <c r="I1201" s="57"/>
      <c r="J1201" s="57"/>
      <c r="M1201" s="15"/>
    </row>
    <row r="1202" ht="63.0" customHeight="1">
      <c r="A1202" s="26"/>
      <c r="B1202" s="26"/>
      <c r="C1202" s="17" t="s">
        <v>151</v>
      </c>
      <c r="D1202" s="23" t="s">
        <v>1502</v>
      </c>
      <c r="E1202" s="36" t="s">
        <v>632</v>
      </c>
      <c r="F1202" s="38"/>
      <c r="I1202" s="57"/>
      <c r="J1202" s="57"/>
      <c r="M1202" s="15"/>
    </row>
    <row r="1203" ht="63.0" customHeight="1">
      <c r="A1203" s="26"/>
      <c r="B1203" s="26"/>
      <c r="C1203" s="17" t="s">
        <v>151</v>
      </c>
      <c r="D1203" s="23" t="s">
        <v>1503</v>
      </c>
      <c r="E1203" s="36" t="s">
        <v>632</v>
      </c>
      <c r="F1203" s="38"/>
      <c r="I1203" s="57"/>
      <c r="J1203" s="57"/>
      <c r="M1203" s="15"/>
    </row>
    <row r="1204" ht="63.0" customHeight="1">
      <c r="A1204" s="26"/>
      <c r="B1204" s="26"/>
      <c r="C1204" s="17" t="s">
        <v>151</v>
      </c>
      <c r="D1204" s="23" t="s">
        <v>1504</v>
      </c>
      <c r="E1204" s="36" t="s">
        <v>637</v>
      </c>
      <c r="F1204" s="38"/>
      <c r="I1204" s="57"/>
      <c r="J1204" s="57"/>
      <c r="M1204" s="15"/>
    </row>
    <row r="1205" ht="63.0" customHeight="1">
      <c r="A1205" s="26"/>
      <c r="B1205" s="26"/>
      <c r="C1205" s="17" t="s">
        <v>151</v>
      </c>
      <c r="D1205" s="23" t="s">
        <v>1505</v>
      </c>
      <c r="E1205" s="36" t="s">
        <v>632</v>
      </c>
      <c r="F1205" s="38"/>
      <c r="I1205" s="57"/>
      <c r="J1205" s="57"/>
      <c r="M1205" s="15"/>
    </row>
    <row r="1206" ht="63.0" customHeight="1">
      <c r="A1206" s="26"/>
      <c r="B1206" s="26"/>
      <c r="C1206" s="17" t="s">
        <v>151</v>
      </c>
      <c r="D1206" s="23" t="s">
        <v>1506</v>
      </c>
      <c r="E1206" s="36" t="s">
        <v>632</v>
      </c>
      <c r="F1206" s="38"/>
      <c r="I1206" s="57"/>
      <c r="J1206" s="57"/>
      <c r="M1206" s="15"/>
    </row>
    <row r="1207" ht="63.0" customHeight="1">
      <c r="A1207" s="26"/>
      <c r="B1207" s="26"/>
      <c r="C1207" s="17" t="s">
        <v>151</v>
      </c>
      <c r="D1207" s="23" t="s">
        <v>1507</v>
      </c>
      <c r="E1207" s="36" t="s">
        <v>632</v>
      </c>
      <c r="F1207" s="38"/>
      <c r="I1207" s="57"/>
      <c r="J1207" s="57"/>
      <c r="M1207" s="15"/>
    </row>
    <row r="1208" ht="63.0" customHeight="1">
      <c r="A1208" s="26"/>
      <c r="B1208" s="26"/>
      <c r="C1208" s="17" t="s">
        <v>151</v>
      </c>
      <c r="D1208" s="23" t="s">
        <v>1508</v>
      </c>
      <c r="E1208" s="36" t="s">
        <v>632</v>
      </c>
      <c r="F1208" s="38"/>
      <c r="I1208" s="57"/>
      <c r="J1208" s="57"/>
      <c r="M1208" s="15"/>
    </row>
    <row r="1209" ht="63.0" customHeight="1">
      <c r="A1209" s="26"/>
      <c r="B1209" s="26"/>
      <c r="C1209" s="17" t="s">
        <v>151</v>
      </c>
      <c r="D1209" s="23" t="s">
        <v>1509</v>
      </c>
      <c r="E1209" s="36" t="s">
        <v>632</v>
      </c>
      <c r="F1209" s="38"/>
      <c r="I1209" s="57"/>
      <c r="J1209" s="57"/>
      <c r="M1209" s="15"/>
    </row>
    <row r="1210" ht="63.0" customHeight="1">
      <c r="A1210" s="26"/>
      <c r="B1210" s="26"/>
      <c r="C1210" s="17" t="s">
        <v>151</v>
      </c>
      <c r="D1210" s="23" t="s">
        <v>1509</v>
      </c>
      <c r="E1210" s="36" t="s">
        <v>632</v>
      </c>
      <c r="F1210" s="38"/>
      <c r="I1210" s="57"/>
      <c r="J1210" s="57"/>
      <c r="M1210" s="15"/>
    </row>
    <row r="1211" ht="63.0" customHeight="1">
      <c r="A1211" s="26"/>
      <c r="B1211" s="26"/>
      <c r="C1211" s="17" t="s">
        <v>151</v>
      </c>
      <c r="D1211" s="23" t="s">
        <v>1510</v>
      </c>
      <c r="E1211" s="36" t="s">
        <v>632</v>
      </c>
      <c r="F1211" s="38"/>
      <c r="I1211" s="57"/>
      <c r="J1211" s="57"/>
      <c r="M1211" s="15"/>
    </row>
    <row r="1212" ht="63.0" customHeight="1">
      <c r="A1212" s="26"/>
      <c r="B1212" s="26"/>
      <c r="C1212" s="17" t="s">
        <v>151</v>
      </c>
      <c r="D1212" s="23" t="s">
        <v>1511</v>
      </c>
      <c r="E1212" s="36" t="s">
        <v>632</v>
      </c>
      <c r="F1212" s="38"/>
      <c r="I1212" s="57"/>
      <c r="J1212" s="57"/>
      <c r="M1212" s="15"/>
    </row>
    <row r="1213" ht="63.0" customHeight="1">
      <c r="A1213" s="26"/>
      <c r="B1213" s="26"/>
      <c r="C1213" s="17" t="s">
        <v>151</v>
      </c>
      <c r="D1213" s="23" t="s">
        <v>1512</v>
      </c>
      <c r="E1213" s="36" t="s">
        <v>632</v>
      </c>
      <c r="F1213" s="38"/>
      <c r="I1213" s="57"/>
      <c r="J1213" s="57"/>
      <c r="M1213" s="15"/>
    </row>
    <row r="1214" ht="63.0" customHeight="1">
      <c r="A1214" s="26"/>
      <c r="B1214" s="26"/>
      <c r="C1214" s="17" t="s">
        <v>151</v>
      </c>
      <c r="D1214" s="23" t="s">
        <v>1513</v>
      </c>
      <c r="E1214" s="36" t="s">
        <v>632</v>
      </c>
      <c r="F1214" s="38"/>
      <c r="I1214" s="57"/>
      <c r="J1214" s="57"/>
      <c r="M1214" s="15"/>
    </row>
    <row r="1215" ht="63.0" customHeight="1">
      <c r="A1215" s="26"/>
      <c r="B1215" s="26"/>
      <c r="C1215" s="17" t="s">
        <v>151</v>
      </c>
      <c r="D1215" s="23" t="s">
        <v>1514</v>
      </c>
      <c r="E1215" s="36" t="s">
        <v>632</v>
      </c>
      <c r="F1215" s="38"/>
      <c r="I1215" s="57"/>
      <c r="J1215" s="57"/>
      <c r="M1215" s="15"/>
    </row>
    <row r="1216" ht="63.0" customHeight="1">
      <c r="A1216" s="26"/>
      <c r="B1216" s="26"/>
      <c r="C1216" s="17" t="s">
        <v>151</v>
      </c>
      <c r="D1216" s="23" t="s">
        <v>1515</v>
      </c>
      <c r="E1216" s="36" t="s">
        <v>632</v>
      </c>
      <c r="F1216" s="38"/>
      <c r="I1216" s="57"/>
      <c r="J1216" s="57"/>
      <c r="M1216" s="15"/>
    </row>
    <row r="1217" ht="63.0" customHeight="1">
      <c r="A1217" s="26"/>
      <c r="B1217" s="26"/>
      <c r="C1217" s="17" t="s">
        <v>151</v>
      </c>
      <c r="D1217" s="23" t="s">
        <v>1516</v>
      </c>
      <c r="E1217" s="36" t="s">
        <v>632</v>
      </c>
      <c r="F1217" s="38"/>
      <c r="I1217" s="57"/>
      <c r="J1217" s="57"/>
      <c r="M1217" s="15"/>
    </row>
    <row r="1218" ht="63.0" customHeight="1">
      <c r="A1218" s="26"/>
      <c r="B1218" s="26"/>
      <c r="C1218" s="17" t="s">
        <v>151</v>
      </c>
      <c r="D1218" s="23" t="s">
        <v>1517</v>
      </c>
      <c r="E1218" s="36" t="s">
        <v>632</v>
      </c>
      <c r="F1218" s="38"/>
      <c r="I1218" s="57"/>
      <c r="J1218" s="57"/>
      <c r="M1218" s="15"/>
    </row>
    <row r="1219" ht="63.0" customHeight="1">
      <c r="A1219" s="26"/>
      <c r="B1219" s="26"/>
      <c r="C1219" s="17" t="s">
        <v>151</v>
      </c>
      <c r="D1219" s="23" t="s">
        <v>1518</v>
      </c>
      <c r="E1219" s="36" t="s">
        <v>632</v>
      </c>
      <c r="F1219" s="38"/>
      <c r="I1219" s="57"/>
      <c r="J1219" s="57"/>
      <c r="M1219" s="15"/>
    </row>
    <row r="1220" ht="63.0" customHeight="1">
      <c r="A1220" s="26"/>
      <c r="B1220" s="26"/>
      <c r="C1220" s="17" t="s">
        <v>151</v>
      </c>
      <c r="D1220" s="23" t="s">
        <v>1519</v>
      </c>
      <c r="E1220" s="36" t="s">
        <v>632</v>
      </c>
      <c r="F1220" s="38"/>
      <c r="I1220" s="57"/>
      <c r="J1220" s="57"/>
      <c r="M1220" s="15"/>
    </row>
    <row r="1221" ht="63.0" customHeight="1">
      <c r="A1221" s="26"/>
      <c r="B1221" s="26"/>
      <c r="C1221" s="17" t="s">
        <v>151</v>
      </c>
      <c r="D1221" s="23" t="s">
        <v>1520</v>
      </c>
      <c r="E1221" s="36" t="s">
        <v>632</v>
      </c>
      <c r="F1221" s="38"/>
      <c r="I1221" s="57"/>
      <c r="J1221" s="57"/>
      <c r="M1221" s="15"/>
    </row>
    <row r="1222" ht="63.0" customHeight="1">
      <c r="A1222" s="26"/>
      <c r="B1222" s="26"/>
      <c r="C1222" s="17" t="s">
        <v>151</v>
      </c>
      <c r="D1222" s="23" t="s">
        <v>1521</v>
      </c>
      <c r="E1222" s="36" t="s">
        <v>632</v>
      </c>
      <c r="F1222" s="38"/>
      <c r="I1222" s="57"/>
      <c r="J1222" s="57"/>
      <c r="M1222" s="15"/>
    </row>
    <row r="1223" ht="63.0" customHeight="1">
      <c r="A1223" s="26"/>
      <c r="B1223" s="26"/>
      <c r="C1223" s="17" t="s">
        <v>151</v>
      </c>
      <c r="D1223" s="23" t="s">
        <v>1522</v>
      </c>
      <c r="E1223" s="36" t="s">
        <v>637</v>
      </c>
      <c r="F1223" s="38"/>
      <c r="I1223" s="57"/>
      <c r="J1223" s="57"/>
      <c r="M1223" s="15"/>
    </row>
    <row r="1224" ht="63.0" customHeight="1">
      <c r="A1224" s="26"/>
      <c r="B1224" s="26"/>
      <c r="C1224" s="17" t="s">
        <v>151</v>
      </c>
      <c r="D1224" s="23" t="s">
        <v>1523</v>
      </c>
      <c r="E1224" s="36" t="s">
        <v>637</v>
      </c>
      <c r="F1224" s="38"/>
      <c r="I1224" s="57"/>
      <c r="J1224" s="57"/>
      <c r="M1224" s="15"/>
    </row>
    <row r="1225" ht="63.0" customHeight="1">
      <c r="A1225" s="26"/>
      <c r="B1225" s="26"/>
      <c r="C1225" s="17" t="s">
        <v>151</v>
      </c>
      <c r="D1225" s="23" t="s">
        <v>1524</v>
      </c>
      <c r="E1225" s="36" t="s">
        <v>637</v>
      </c>
      <c r="F1225" s="38"/>
      <c r="I1225" s="57"/>
      <c r="J1225" s="57"/>
      <c r="M1225" s="15"/>
    </row>
    <row r="1226" ht="63.0" customHeight="1">
      <c r="A1226" s="26"/>
      <c r="B1226" s="26"/>
      <c r="C1226" s="17" t="s">
        <v>151</v>
      </c>
      <c r="D1226" s="23" t="s">
        <v>1525</v>
      </c>
      <c r="E1226" s="36" t="s">
        <v>637</v>
      </c>
      <c r="F1226" s="38"/>
      <c r="I1226" s="57"/>
      <c r="J1226" s="57"/>
      <c r="M1226" s="15"/>
    </row>
    <row r="1227" ht="63.0" customHeight="1">
      <c r="A1227" s="26"/>
      <c r="B1227" s="26"/>
      <c r="C1227" s="17" t="s">
        <v>151</v>
      </c>
      <c r="D1227" s="23" t="s">
        <v>1526</v>
      </c>
      <c r="E1227" s="36" t="s">
        <v>632</v>
      </c>
      <c r="F1227" s="38"/>
      <c r="I1227" s="57"/>
      <c r="J1227" s="57"/>
      <c r="M1227" s="15"/>
    </row>
    <row r="1228" ht="63.0" customHeight="1">
      <c r="A1228" s="26"/>
      <c r="B1228" s="26"/>
      <c r="C1228" s="17" t="s">
        <v>151</v>
      </c>
      <c r="D1228" s="23" t="s">
        <v>1527</v>
      </c>
      <c r="E1228" s="36" t="s">
        <v>637</v>
      </c>
      <c r="F1228" s="38"/>
      <c r="I1228" s="57"/>
      <c r="J1228" s="57"/>
      <c r="M1228" s="15"/>
    </row>
    <row r="1229" ht="63.0" customHeight="1">
      <c r="A1229" s="26"/>
      <c r="B1229" s="26"/>
      <c r="C1229" s="17" t="s">
        <v>151</v>
      </c>
      <c r="D1229" s="23" t="s">
        <v>1528</v>
      </c>
      <c r="E1229" s="36" t="s">
        <v>632</v>
      </c>
      <c r="F1229" s="38"/>
      <c r="I1229" s="57"/>
      <c r="J1229" s="57"/>
      <c r="M1229" s="15"/>
    </row>
    <row r="1230" ht="63.0" customHeight="1">
      <c r="A1230" s="26"/>
      <c r="B1230" s="26"/>
      <c r="C1230" s="17" t="s">
        <v>151</v>
      </c>
      <c r="D1230" s="23" t="s">
        <v>1529</v>
      </c>
      <c r="E1230" s="36" t="s">
        <v>637</v>
      </c>
      <c r="F1230" s="38"/>
      <c r="I1230" s="57"/>
      <c r="J1230" s="57"/>
      <c r="M1230" s="15"/>
    </row>
    <row r="1231" ht="63.0" customHeight="1">
      <c r="A1231" s="26"/>
      <c r="B1231" s="26"/>
      <c r="C1231" s="17" t="s">
        <v>151</v>
      </c>
      <c r="D1231" s="23" t="s">
        <v>1530</v>
      </c>
      <c r="E1231" s="36" t="s">
        <v>632</v>
      </c>
      <c r="F1231" s="38"/>
      <c r="I1231" s="57"/>
      <c r="J1231" s="57"/>
      <c r="M1231" s="15"/>
    </row>
    <row r="1232" ht="63.0" customHeight="1">
      <c r="A1232" s="26"/>
      <c r="B1232" s="26"/>
      <c r="C1232" s="17" t="s">
        <v>151</v>
      </c>
      <c r="D1232" s="23" t="s">
        <v>1531</v>
      </c>
      <c r="E1232" s="36" t="s">
        <v>632</v>
      </c>
      <c r="F1232" s="38"/>
      <c r="I1232" s="57"/>
      <c r="J1232" s="57"/>
      <c r="M1232" s="15"/>
    </row>
    <row r="1233" ht="63.0" customHeight="1">
      <c r="A1233" s="26"/>
      <c r="B1233" s="26"/>
      <c r="C1233" s="17" t="s">
        <v>151</v>
      </c>
      <c r="D1233" s="23" t="s">
        <v>1531</v>
      </c>
      <c r="E1233" s="36" t="s">
        <v>632</v>
      </c>
      <c r="F1233" s="38"/>
      <c r="I1233" s="57"/>
      <c r="J1233" s="57"/>
      <c r="M1233" s="15"/>
    </row>
    <row r="1234" ht="63.0" customHeight="1">
      <c r="A1234" s="26"/>
      <c r="B1234" s="26"/>
      <c r="C1234" s="17" t="s">
        <v>151</v>
      </c>
      <c r="D1234" s="23" t="s">
        <v>1532</v>
      </c>
      <c r="E1234" s="36" t="s">
        <v>637</v>
      </c>
      <c r="F1234" s="38"/>
      <c r="I1234" s="57"/>
      <c r="J1234" s="57"/>
      <c r="M1234" s="15"/>
    </row>
    <row r="1235" ht="63.0" customHeight="1">
      <c r="A1235" s="26"/>
      <c r="B1235" s="26"/>
      <c r="C1235" s="17" t="s">
        <v>151</v>
      </c>
      <c r="D1235" s="23" t="s">
        <v>1533</v>
      </c>
      <c r="E1235" s="36" t="s">
        <v>632</v>
      </c>
      <c r="F1235" s="38"/>
      <c r="I1235" s="57"/>
      <c r="J1235" s="57"/>
      <c r="M1235" s="15"/>
    </row>
    <row r="1236" ht="63.0" customHeight="1">
      <c r="A1236" s="26"/>
      <c r="B1236" s="26"/>
      <c r="C1236" s="17" t="s">
        <v>151</v>
      </c>
      <c r="D1236" s="23" t="s">
        <v>1534</v>
      </c>
      <c r="E1236" s="36" t="s">
        <v>637</v>
      </c>
      <c r="F1236" s="38"/>
      <c r="I1236" s="57"/>
      <c r="J1236" s="57"/>
      <c r="M1236" s="15"/>
    </row>
    <row r="1237" ht="63.0" customHeight="1">
      <c r="A1237" s="26"/>
      <c r="B1237" s="26"/>
      <c r="C1237" s="17" t="s">
        <v>151</v>
      </c>
      <c r="D1237" s="23" t="s">
        <v>960</v>
      </c>
      <c r="E1237" s="36" t="s">
        <v>945</v>
      </c>
      <c r="F1237" s="38"/>
      <c r="I1237" s="57"/>
      <c r="J1237" s="57"/>
      <c r="M1237" s="15"/>
    </row>
    <row r="1238" ht="63.0" customHeight="1">
      <c r="A1238" s="26"/>
      <c r="B1238" s="26"/>
      <c r="C1238" s="17" t="s">
        <v>151</v>
      </c>
      <c r="D1238" s="23" t="s">
        <v>1535</v>
      </c>
      <c r="E1238" s="36" t="s">
        <v>632</v>
      </c>
      <c r="F1238" s="38"/>
      <c r="I1238" s="57"/>
      <c r="J1238" s="57"/>
      <c r="M1238" s="15"/>
    </row>
    <row r="1239" ht="63.0" customHeight="1">
      <c r="A1239" s="26"/>
      <c r="B1239" s="26"/>
      <c r="C1239" s="17" t="s">
        <v>151</v>
      </c>
      <c r="D1239" s="23" t="s">
        <v>1536</v>
      </c>
      <c r="E1239" s="36" t="s">
        <v>637</v>
      </c>
      <c r="F1239" s="38"/>
      <c r="I1239" s="57"/>
      <c r="J1239" s="57"/>
      <c r="M1239" s="15"/>
    </row>
    <row r="1240" ht="63.0" customHeight="1">
      <c r="A1240" s="26"/>
      <c r="B1240" s="26"/>
      <c r="C1240" s="17" t="s">
        <v>151</v>
      </c>
      <c r="D1240" s="23" t="s">
        <v>1537</v>
      </c>
      <c r="E1240" s="36" t="s">
        <v>637</v>
      </c>
      <c r="F1240" s="38"/>
      <c r="I1240" s="57"/>
      <c r="J1240" s="57"/>
      <c r="M1240" s="15"/>
    </row>
    <row r="1241" ht="63.0" customHeight="1">
      <c r="A1241" s="26"/>
      <c r="B1241" s="26"/>
      <c r="C1241" s="17" t="s">
        <v>151</v>
      </c>
      <c r="D1241" s="23" t="s">
        <v>1538</v>
      </c>
      <c r="E1241" s="36" t="s">
        <v>632</v>
      </c>
      <c r="F1241" s="38"/>
      <c r="I1241" s="57"/>
      <c r="J1241" s="57"/>
      <c r="M1241" s="15"/>
    </row>
    <row r="1242" ht="63.0" customHeight="1">
      <c r="A1242" s="26"/>
      <c r="B1242" s="26"/>
      <c r="C1242" s="17" t="s">
        <v>151</v>
      </c>
      <c r="D1242" s="23" t="s">
        <v>1539</v>
      </c>
      <c r="E1242" s="36" t="s">
        <v>632</v>
      </c>
      <c r="F1242" s="38"/>
      <c r="I1242" s="57"/>
      <c r="J1242" s="57"/>
      <c r="M1242" s="15"/>
    </row>
    <row r="1243" ht="63.0" customHeight="1">
      <c r="A1243" s="26"/>
      <c r="B1243" s="26"/>
      <c r="C1243" s="17" t="s">
        <v>151</v>
      </c>
      <c r="D1243" s="23" t="s">
        <v>1539</v>
      </c>
      <c r="E1243" s="36" t="s">
        <v>632</v>
      </c>
      <c r="F1243" s="38"/>
      <c r="I1243" s="57"/>
      <c r="J1243" s="57"/>
      <c r="M1243" s="15"/>
    </row>
    <row r="1244" ht="63.0" customHeight="1">
      <c r="A1244" s="26"/>
      <c r="B1244" s="26"/>
      <c r="C1244" s="17" t="s">
        <v>151</v>
      </c>
      <c r="D1244" s="23" t="s">
        <v>877</v>
      </c>
      <c r="E1244" s="36" t="s">
        <v>630</v>
      </c>
      <c r="F1244" s="38"/>
      <c r="I1244" s="57"/>
      <c r="J1244" s="57"/>
      <c r="M1244" s="15"/>
    </row>
    <row r="1245" ht="63.0" customHeight="1">
      <c r="A1245" s="26"/>
      <c r="B1245" s="26"/>
      <c r="C1245" s="17" t="s">
        <v>151</v>
      </c>
      <c r="D1245" s="23" t="s">
        <v>1540</v>
      </c>
      <c r="E1245" s="36" t="s">
        <v>632</v>
      </c>
      <c r="F1245" s="38"/>
      <c r="I1245" s="57"/>
      <c r="J1245" s="57"/>
      <c r="M1245" s="15"/>
    </row>
    <row r="1246" ht="63.0" customHeight="1">
      <c r="A1246" s="26"/>
      <c r="B1246" s="26"/>
      <c r="C1246" s="17" t="s">
        <v>151</v>
      </c>
      <c r="D1246" s="23" t="s">
        <v>1541</v>
      </c>
      <c r="E1246" s="36" t="s">
        <v>632</v>
      </c>
      <c r="F1246" s="38"/>
      <c r="I1246" s="57"/>
      <c r="J1246" s="57"/>
      <c r="M1246" s="15"/>
    </row>
    <row r="1247" ht="63.0" customHeight="1">
      <c r="A1247" s="26"/>
      <c r="B1247" s="26"/>
      <c r="C1247" s="17" t="s">
        <v>151</v>
      </c>
      <c r="D1247" s="23" t="s">
        <v>1542</v>
      </c>
      <c r="E1247" s="36" t="s">
        <v>632</v>
      </c>
      <c r="F1247" s="38"/>
      <c r="I1247" s="57"/>
      <c r="J1247" s="57"/>
      <c r="M1247" s="15"/>
    </row>
    <row r="1248" ht="63.0" customHeight="1">
      <c r="A1248" s="26"/>
      <c r="B1248" s="26"/>
      <c r="C1248" s="17" t="s">
        <v>151</v>
      </c>
      <c r="D1248" s="23" t="s">
        <v>1543</v>
      </c>
      <c r="E1248" s="36" t="s">
        <v>632</v>
      </c>
      <c r="F1248" s="38"/>
      <c r="I1248" s="57"/>
      <c r="J1248" s="57"/>
      <c r="M1248" s="15"/>
    </row>
    <row r="1249" ht="63.0" customHeight="1">
      <c r="A1249" s="26"/>
      <c r="B1249" s="26"/>
      <c r="C1249" s="17" t="s">
        <v>151</v>
      </c>
      <c r="D1249" s="23" t="s">
        <v>1544</v>
      </c>
      <c r="E1249" s="36" t="s">
        <v>632</v>
      </c>
      <c r="F1249" s="38"/>
      <c r="I1249" s="57"/>
      <c r="J1249" s="57"/>
      <c r="M1249" s="15"/>
    </row>
    <row r="1250" ht="63.0" customHeight="1">
      <c r="A1250" s="26"/>
      <c r="B1250" s="26"/>
      <c r="C1250" s="17" t="s">
        <v>151</v>
      </c>
      <c r="D1250" s="23" t="s">
        <v>1545</v>
      </c>
      <c r="E1250" s="36" t="s">
        <v>632</v>
      </c>
      <c r="F1250" s="38"/>
      <c r="I1250" s="57"/>
      <c r="J1250" s="57"/>
      <c r="M1250" s="15"/>
    </row>
    <row r="1251" ht="63.0" customHeight="1">
      <c r="A1251" s="26"/>
      <c r="B1251" s="26"/>
      <c r="C1251" s="17" t="s">
        <v>151</v>
      </c>
      <c r="D1251" s="23" t="s">
        <v>1546</v>
      </c>
      <c r="E1251" s="36" t="s">
        <v>632</v>
      </c>
      <c r="F1251" s="38"/>
      <c r="I1251" s="57"/>
      <c r="J1251" s="57"/>
      <c r="M1251" s="15"/>
    </row>
    <row r="1252" ht="63.0" customHeight="1">
      <c r="A1252" s="26"/>
      <c r="B1252" s="26"/>
      <c r="C1252" s="17" t="s">
        <v>151</v>
      </c>
      <c r="D1252" s="23" t="s">
        <v>1547</v>
      </c>
      <c r="E1252" s="36" t="s">
        <v>632</v>
      </c>
      <c r="F1252" s="38"/>
      <c r="I1252" s="57"/>
      <c r="J1252" s="57"/>
      <c r="M1252" s="15"/>
    </row>
    <row r="1253" ht="63.0" customHeight="1">
      <c r="A1253" s="26"/>
      <c r="B1253" s="26"/>
      <c r="C1253" s="17" t="s">
        <v>151</v>
      </c>
      <c r="D1253" s="23" t="s">
        <v>1548</v>
      </c>
      <c r="E1253" s="36" t="s">
        <v>632</v>
      </c>
      <c r="F1253" s="38"/>
      <c r="I1253" s="57"/>
      <c r="J1253" s="57"/>
      <c r="M1253" s="15"/>
    </row>
    <row r="1254" ht="63.0" customHeight="1">
      <c r="A1254" s="26"/>
      <c r="B1254" s="26"/>
      <c r="C1254" s="17" t="s">
        <v>151</v>
      </c>
      <c r="D1254" s="23" t="s">
        <v>1549</v>
      </c>
      <c r="E1254" s="36" t="s">
        <v>632</v>
      </c>
      <c r="F1254" s="38"/>
      <c r="I1254" s="57"/>
      <c r="J1254" s="57"/>
      <c r="M1254" s="15"/>
    </row>
    <row r="1255" ht="63.0" customHeight="1">
      <c r="A1255" s="26"/>
      <c r="B1255" s="26"/>
      <c r="C1255" s="17" t="s">
        <v>151</v>
      </c>
      <c r="D1255" s="23" t="s">
        <v>1550</v>
      </c>
      <c r="E1255" s="36" t="s">
        <v>632</v>
      </c>
      <c r="F1255" s="38"/>
      <c r="I1255" s="57"/>
      <c r="J1255" s="57"/>
      <c r="M1255" s="15"/>
    </row>
    <row r="1256" ht="63.0" customHeight="1">
      <c r="A1256" s="26"/>
      <c r="B1256" s="26"/>
      <c r="C1256" s="17" t="s">
        <v>151</v>
      </c>
      <c r="D1256" s="23" t="s">
        <v>1551</v>
      </c>
      <c r="E1256" s="36" t="s">
        <v>632</v>
      </c>
      <c r="F1256" s="38"/>
      <c r="I1256" s="57"/>
      <c r="J1256" s="57"/>
      <c r="M1256" s="15"/>
    </row>
    <row r="1257" ht="63.0" customHeight="1">
      <c r="A1257" s="26"/>
      <c r="B1257" s="26"/>
      <c r="C1257" s="17" t="s">
        <v>151</v>
      </c>
      <c r="D1257" s="23" t="s">
        <v>1552</v>
      </c>
      <c r="E1257" s="36" t="s">
        <v>632</v>
      </c>
      <c r="F1257" s="38"/>
      <c r="I1257" s="57"/>
      <c r="J1257" s="57"/>
      <c r="M1257" s="15"/>
    </row>
    <row r="1258" ht="63.0" customHeight="1">
      <c r="A1258" s="26"/>
      <c r="B1258" s="26"/>
      <c r="C1258" s="17" t="s">
        <v>151</v>
      </c>
      <c r="D1258" s="23" t="s">
        <v>1553</v>
      </c>
      <c r="E1258" s="36" t="s">
        <v>632</v>
      </c>
      <c r="F1258" s="38"/>
      <c r="I1258" s="57"/>
      <c r="J1258" s="57"/>
      <c r="M1258" s="15"/>
    </row>
    <row r="1259" ht="63.0" customHeight="1">
      <c r="A1259" s="26"/>
      <c r="B1259" s="26"/>
      <c r="C1259" s="17" t="s">
        <v>151</v>
      </c>
      <c r="D1259" s="23" t="s">
        <v>1554</v>
      </c>
      <c r="E1259" s="36" t="s">
        <v>632</v>
      </c>
      <c r="F1259" s="38"/>
      <c r="I1259" s="57"/>
      <c r="J1259" s="57"/>
      <c r="M1259" s="15"/>
    </row>
    <row r="1260" ht="63.0" customHeight="1">
      <c r="A1260" s="26"/>
      <c r="B1260" s="26"/>
      <c r="C1260" s="17" t="s">
        <v>151</v>
      </c>
      <c r="D1260" s="23" t="s">
        <v>1555</v>
      </c>
      <c r="E1260" s="36" t="s">
        <v>632</v>
      </c>
      <c r="F1260" s="38"/>
      <c r="I1260" s="57"/>
      <c r="J1260" s="57"/>
      <c r="M1260" s="15"/>
    </row>
    <row r="1261" ht="63.0" customHeight="1">
      <c r="A1261" s="26"/>
      <c r="B1261" s="26"/>
      <c r="C1261" s="17" t="s">
        <v>151</v>
      </c>
      <c r="D1261" s="23" t="s">
        <v>1556</v>
      </c>
      <c r="E1261" s="36" t="s">
        <v>632</v>
      </c>
      <c r="F1261" s="38"/>
      <c r="I1261" s="57"/>
      <c r="J1261" s="57"/>
      <c r="M1261" s="15"/>
    </row>
    <row r="1262" ht="63.0" customHeight="1">
      <c r="A1262" s="26"/>
      <c r="B1262" s="26"/>
      <c r="C1262" s="17" t="s">
        <v>151</v>
      </c>
      <c r="D1262" s="23" t="s">
        <v>1557</v>
      </c>
      <c r="E1262" s="36" t="s">
        <v>632</v>
      </c>
      <c r="F1262" s="38"/>
      <c r="I1262" s="57"/>
      <c r="J1262" s="57"/>
      <c r="M1262" s="15"/>
    </row>
    <row r="1263" ht="63.0" customHeight="1">
      <c r="A1263" s="26"/>
      <c r="B1263" s="26"/>
      <c r="C1263" s="17" t="s">
        <v>151</v>
      </c>
      <c r="D1263" s="23" t="s">
        <v>1558</v>
      </c>
      <c r="E1263" s="36" t="s">
        <v>632</v>
      </c>
      <c r="F1263" s="38"/>
      <c r="I1263" s="57"/>
      <c r="J1263" s="57"/>
      <c r="M1263" s="15"/>
    </row>
    <row r="1264" ht="63.0" customHeight="1">
      <c r="A1264" s="26"/>
      <c r="B1264" s="26"/>
      <c r="C1264" s="17" t="s">
        <v>151</v>
      </c>
      <c r="D1264" s="23" t="s">
        <v>1559</v>
      </c>
      <c r="E1264" s="36" t="s">
        <v>632</v>
      </c>
      <c r="F1264" s="38"/>
      <c r="I1264" s="57"/>
      <c r="J1264" s="57"/>
      <c r="M1264" s="15"/>
    </row>
    <row r="1265" ht="63.0" customHeight="1">
      <c r="A1265" s="26"/>
      <c r="B1265" s="26"/>
      <c r="C1265" s="17" t="s">
        <v>151</v>
      </c>
      <c r="D1265" s="23" t="s">
        <v>1560</v>
      </c>
      <c r="E1265" s="36" t="s">
        <v>632</v>
      </c>
      <c r="F1265" s="38"/>
      <c r="I1265" s="57"/>
      <c r="J1265" s="57"/>
      <c r="M1265" s="15"/>
    </row>
    <row r="1266" ht="63.0" customHeight="1">
      <c r="A1266" s="26"/>
      <c r="B1266" s="26"/>
      <c r="C1266" s="17" t="s">
        <v>151</v>
      </c>
      <c r="D1266" s="23" t="s">
        <v>1561</v>
      </c>
      <c r="E1266" s="36" t="s">
        <v>632</v>
      </c>
      <c r="F1266" s="38"/>
      <c r="I1266" s="57"/>
      <c r="J1266" s="57"/>
      <c r="M1266" s="15"/>
    </row>
    <row r="1267" ht="63.0" customHeight="1">
      <c r="A1267" s="26"/>
      <c r="B1267" s="26"/>
      <c r="C1267" s="17" t="s">
        <v>151</v>
      </c>
      <c r="D1267" s="23" t="s">
        <v>1562</v>
      </c>
      <c r="E1267" s="36" t="s">
        <v>632</v>
      </c>
      <c r="F1267" s="38"/>
      <c r="I1267" s="57"/>
      <c r="J1267" s="57"/>
      <c r="M1267" s="15"/>
    </row>
    <row r="1268" ht="63.0" customHeight="1">
      <c r="A1268" s="26"/>
      <c r="B1268" s="26"/>
      <c r="C1268" s="17" t="s">
        <v>151</v>
      </c>
      <c r="D1268" s="23" t="s">
        <v>1563</v>
      </c>
      <c r="E1268" s="36" t="s">
        <v>632</v>
      </c>
      <c r="F1268" s="38"/>
      <c r="I1268" s="57"/>
      <c r="J1268" s="57"/>
      <c r="M1268" s="15"/>
    </row>
    <row r="1269" ht="63.0" customHeight="1">
      <c r="A1269" s="26"/>
      <c r="B1269" s="26"/>
      <c r="C1269" s="17" t="s">
        <v>151</v>
      </c>
      <c r="D1269" s="23" t="s">
        <v>1564</v>
      </c>
      <c r="E1269" s="36" t="s">
        <v>632</v>
      </c>
      <c r="F1269" s="38"/>
      <c r="I1269" s="57"/>
      <c r="J1269" s="57"/>
      <c r="M1269" s="15"/>
    </row>
    <row r="1270" ht="63.0" customHeight="1">
      <c r="A1270" s="26"/>
      <c r="B1270" s="26"/>
      <c r="C1270" s="17" t="s">
        <v>151</v>
      </c>
      <c r="D1270" s="23" t="s">
        <v>1565</v>
      </c>
      <c r="E1270" s="36" t="s">
        <v>632</v>
      </c>
      <c r="F1270" s="38"/>
      <c r="I1270" s="57"/>
      <c r="J1270" s="57"/>
      <c r="M1270" s="15"/>
    </row>
    <row r="1271" ht="63.0" customHeight="1">
      <c r="A1271" s="26"/>
      <c r="B1271" s="26"/>
      <c r="C1271" s="17" t="s">
        <v>151</v>
      </c>
      <c r="D1271" s="23" t="s">
        <v>1566</v>
      </c>
      <c r="E1271" s="36" t="s">
        <v>632</v>
      </c>
      <c r="F1271" s="38"/>
      <c r="I1271" s="57"/>
      <c r="J1271" s="57"/>
      <c r="M1271" s="15"/>
    </row>
    <row r="1272" ht="63.0" customHeight="1">
      <c r="A1272" s="26"/>
      <c r="B1272" s="26"/>
      <c r="C1272" s="17" t="s">
        <v>151</v>
      </c>
      <c r="D1272" s="23" t="s">
        <v>1567</v>
      </c>
      <c r="E1272" s="36" t="s">
        <v>632</v>
      </c>
      <c r="F1272" s="38"/>
      <c r="I1272" s="57"/>
      <c r="J1272" s="57"/>
      <c r="M1272" s="15"/>
    </row>
    <row r="1273" ht="63.0" customHeight="1">
      <c r="A1273" s="26"/>
      <c r="B1273" s="26"/>
      <c r="C1273" s="17" t="s">
        <v>151</v>
      </c>
      <c r="D1273" s="23" t="s">
        <v>1568</v>
      </c>
      <c r="E1273" s="36" t="s">
        <v>632</v>
      </c>
      <c r="F1273" s="38"/>
      <c r="I1273" s="57"/>
      <c r="J1273" s="57"/>
      <c r="M1273" s="15"/>
    </row>
    <row r="1274" ht="63.0" customHeight="1">
      <c r="A1274" s="26"/>
      <c r="B1274" s="26"/>
      <c r="C1274" s="17" t="s">
        <v>151</v>
      </c>
      <c r="D1274" s="23" t="s">
        <v>1569</v>
      </c>
      <c r="E1274" s="36" t="s">
        <v>632</v>
      </c>
      <c r="F1274" s="38"/>
      <c r="I1274" s="57"/>
      <c r="J1274" s="57"/>
      <c r="M1274" s="15"/>
    </row>
    <row r="1275" ht="63.0" customHeight="1">
      <c r="A1275" s="26"/>
      <c r="B1275" s="26"/>
      <c r="C1275" s="17" t="s">
        <v>151</v>
      </c>
      <c r="D1275" s="23" t="s">
        <v>1570</v>
      </c>
      <c r="E1275" s="36" t="s">
        <v>632</v>
      </c>
      <c r="F1275" s="38"/>
      <c r="I1275" s="57"/>
      <c r="J1275" s="57"/>
      <c r="M1275" s="15"/>
    </row>
    <row r="1276" ht="63.0" customHeight="1">
      <c r="A1276" s="26"/>
      <c r="B1276" s="26"/>
      <c r="C1276" s="17" t="s">
        <v>151</v>
      </c>
      <c r="D1276" s="23" t="s">
        <v>1571</v>
      </c>
      <c r="E1276" s="36" t="s">
        <v>632</v>
      </c>
      <c r="F1276" s="38"/>
      <c r="I1276" s="57"/>
      <c r="J1276" s="57"/>
      <c r="M1276" s="15"/>
    </row>
    <row r="1277" ht="63.0" customHeight="1">
      <c r="A1277" s="26"/>
      <c r="B1277" s="26"/>
      <c r="C1277" s="17" t="s">
        <v>151</v>
      </c>
      <c r="D1277" s="23" t="s">
        <v>1571</v>
      </c>
      <c r="E1277" s="36" t="s">
        <v>632</v>
      </c>
      <c r="F1277" s="38"/>
      <c r="I1277" s="57"/>
      <c r="J1277" s="57"/>
      <c r="M1277" s="15"/>
    </row>
    <row r="1278" ht="63.0" customHeight="1">
      <c r="A1278" s="26"/>
      <c r="B1278" s="26"/>
      <c r="C1278" s="17" t="s">
        <v>151</v>
      </c>
      <c r="D1278" s="23" t="s">
        <v>1572</v>
      </c>
      <c r="E1278" s="36" t="s">
        <v>632</v>
      </c>
      <c r="F1278" s="38"/>
      <c r="I1278" s="57"/>
      <c r="J1278" s="57"/>
      <c r="M1278" s="15"/>
    </row>
    <row r="1279" ht="63.0" customHeight="1">
      <c r="A1279" s="26"/>
      <c r="B1279" s="26"/>
      <c r="C1279" s="17" t="s">
        <v>151</v>
      </c>
      <c r="D1279" s="23" t="s">
        <v>1573</v>
      </c>
      <c r="E1279" s="36" t="s">
        <v>632</v>
      </c>
      <c r="F1279" s="38"/>
      <c r="I1279" s="57"/>
      <c r="J1279" s="57"/>
      <c r="M1279" s="15"/>
    </row>
    <row r="1280" ht="63.0" customHeight="1">
      <c r="A1280" s="26"/>
      <c r="B1280" s="26"/>
      <c r="C1280" s="17" t="s">
        <v>151</v>
      </c>
      <c r="D1280" s="23" t="s">
        <v>1574</v>
      </c>
      <c r="E1280" s="36" t="s">
        <v>632</v>
      </c>
      <c r="F1280" s="38"/>
      <c r="I1280" s="57"/>
      <c r="J1280" s="57"/>
      <c r="M1280" s="15"/>
    </row>
    <row r="1281" ht="63.0" customHeight="1">
      <c r="A1281" s="26"/>
      <c r="B1281" s="26"/>
      <c r="C1281" s="17" t="s">
        <v>151</v>
      </c>
      <c r="D1281" s="23" t="s">
        <v>1575</v>
      </c>
      <c r="E1281" s="36" t="s">
        <v>632</v>
      </c>
      <c r="F1281" s="38"/>
      <c r="I1281" s="57"/>
      <c r="J1281" s="57"/>
      <c r="M1281" s="15"/>
    </row>
    <row r="1282" ht="63.0" customHeight="1">
      <c r="A1282" s="26"/>
      <c r="B1282" s="26"/>
      <c r="C1282" s="17" t="s">
        <v>151</v>
      </c>
      <c r="D1282" s="23" t="s">
        <v>1576</v>
      </c>
      <c r="E1282" s="36" t="s">
        <v>632</v>
      </c>
      <c r="F1282" s="38"/>
      <c r="I1282" s="57"/>
      <c r="J1282" s="57"/>
      <c r="M1282" s="15"/>
    </row>
    <row r="1283" ht="63.0" customHeight="1">
      <c r="A1283" s="26"/>
      <c r="B1283" s="26"/>
      <c r="C1283" s="17" t="s">
        <v>151</v>
      </c>
      <c r="D1283" s="23" t="s">
        <v>1577</v>
      </c>
      <c r="E1283" s="36" t="s">
        <v>632</v>
      </c>
      <c r="F1283" s="38"/>
      <c r="I1283" s="57"/>
      <c r="J1283" s="57"/>
      <c r="M1283" s="15"/>
    </row>
    <row r="1284" ht="63.0" customHeight="1">
      <c r="A1284" s="26"/>
      <c r="B1284" s="26"/>
      <c r="C1284" s="17" t="s">
        <v>151</v>
      </c>
      <c r="D1284" s="23" t="s">
        <v>629</v>
      </c>
      <c r="E1284" s="36" t="s">
        <v>630</v>
      </c>
      <c r="F1284" s="38"/>
      <c r="I1284" s="57"/>
      <c r="J1284" s="57"/>
      <c r="M1284" s="15"/>
    </row>
    <row r="1285" ht="63.0" customHeight="1">
      <c r="A1285" s="26"/>
      <c r="B1285" s="26"/>
      <c r="C1285" s="17" t="s">
        <v>151</v>
      </c>
      <c r="D1285" s="23" t="s">
        <v>877</v>
      </c>
      <c r="E1285" s="36" t="s">
        <v>630</v>
      </c>
      <c r="F1285" s="38"/>
      <c r="I1285" s="57"/>
      <c r="J1285" s="57"/>
      <c r="M1285" s="15"/>
    </row>
    <row r="1286" ht="63.0" customHeight="1">
      <c r="A1286" s="26"/>
      <c r="B1286" s="26"/>
      <c r="C1286" s="17" t="s">
        <v>151</v>
      </c>
      <c r="D1286" s="23" t="s">
        <v>877</v>
      </c>
      <c r="E1286" s="36" t="s">
        <v>630</v>
      </c>
      <c r="F1286" s="38"/>
      <c r="I1286" s="57"/>
      <c r="J1286" s="57"/>
      <c r="M1286" s="15"/>
    </row>
    <row r="1287" ht="63.0" customHeight="1">
      <c r="A1287" s="26"/>
      <c r="B1287" s="26"/>
      <c r="C1287" s="17" t="s">
        <v>151</v>
      </c>
      <c r="D1287" s="23" t="s">
        <v>629</v>
      </c>
      <c r="E1287" s="36" t="s">
        <v>630</v>
      </c>
      <c r="F1287" s="38"/>
      <c r="I1287" s="57"/>
      <c r="J1287" s="57"/>
      <c r="M1287" s="15"/>
    </row>
    <row r="1288" ht="63.0" customHeight="1">
      <c r="A1288" s="26"/>
      <c r="B1288" s="26"/>
      <c r="C1288" s="17" t="s">
        <v>151</v>
      </c>
      <c r="D1288" s="23" t="s">
        <v>1578</v>
      </c>
      <c r="E1288" s="36" t="s">
        <v>630</v>
      </c>
      <c r="F1288" s="38"/>
      <c r="I1288" s="57"/>
      <c r="J1288" s="57"/>
      <c r="M1288" s="15"/>
    </row>
    <row r="1289" ht="63.0" customHeight="1">
      <c r="A1289" s="26"/>
      <c r="B1289" s="26"/>
      <c r="C1289" s="17" t="s">
        <v>151</v>
      </c>
      <c r="D1289" s="23" t="s">
        <v>629</v>
      </c>
      <c r="E1289" s="36" t="s">
        <v>630</v>
      </c>
      <c r="F1289" s="38"/>
      <c r="I1289" s="57"/>
      <c r="J1289" s="57"/>
      <c r="M1289" s="15"/>
    </row>
    <row r="1290" ht="63.0" customHeight="1">
      <c r="A1290" s="26"/>
      <c r="B1290" s="26"/>
      <c r="C1290" s="17" t="s">
        <v>151</v>
      </c>
      <c r="D1290" s="23" t="s">
        <v>629</v>
      </c>
      <c r="E1290" s="36" t="s">
        <v>630</v>
      </c>
      <c r="F1290" s="38"/>
      <c r="I1290" s="57"/>
      <c r="J1290" s="57"/>
      <c r="M1290" s="15"/>
    </row>
    <row r="1291" ht="63.0" customHeight="1">
      <c r="A1291" s="26"/>
      <c r="B1291" s="26"/>
      <c r="C1291" s="17" t="s">
        <v>151</v>
      </c>
      <c r="D1291" s="23" t="s">
        <v>629</v>
      </c>
      <c r="E1291" s="36" t="s">
        <v>630</v>
      </c>
      <c r="F1291" s="38"/>
      <c r="I1291" s="57"/>
      <c r="J1291" s="57"/>
      <c r="M1291" s="15"/>
    </row>
    <row r="1292" ht="63.0" customHeight="1">
      <c r="A1292" s="26"/>
      <c r="B1292" s="26"/>
      <c r="C1292" s="17" t="s">
        <v>151</v>
      </c>
      <c r="D1292" s="23" t="s">
        <v>877</v>
      </c>
      <c r="E1292" s="36" t="s">
        <v>630</v>
      </c>
      <c r="F1292" s="38"/>
      <c r="I1292" s="57"/>
      <c r="J1292" s="57"/>
      <c r="M1292" s="15"/>
    </row>
    <row r="1293" ht="63.0" customHeight="1">
      <c r="A1293" s="26"/>
      <c r="B1293" s="26"/>
      <c r="C1293" s="17" t="s">
        <v>151</v>
      </c>
      <c r="D1293" s="23" t="s">
        <v>877</v>
      </c>
      <c r="E1293" s="36" t="s">
        <v>630</v>
      </c>
      <c r="F1293" s="38"/>
      <c r="I1293" s="57"/>
      <c r="J1293" s="57"/>
      <c r="M1293" s="15"/>
    </row>
    <row r="1294" ht="63.0" customHeight="1">
      <c r="A1294" s="26"/>
      <c r="B1294" s="26"/>
      <c r="C1294" s="17" t="s">
        <v>151</v>
      </c>
      <c r="D1294" s="23" t="s">
        <v>1579</v>
      </c>
      <c r="E1294" s="36" t="s">
        <v>1460</v>
      </c>
      <c r="F1294" s="38"/>
      <c r="I1294" s="57"/>
      <c r="J1294" s="57"/>
      <c r="M1294" s="15"/>
    </row>
    <row r="1295" ht="63.0" customHeight="1">
      <c r="A1295" s="26"/>
      <c r="B1295" s="26"/>
      <c r="C1295" s="17" t="s">
        <v>151</v>
      </c>
      <c r="D1295" s="23" t="s">
        <v>629</v>
      </c>
      <c r="E1295" s="36" t="s">
        <v>630</v>
      </c>
      <c r="F1295" s="38"/>
      <c r="I1295" s="57"/>
      <c r="J1295" s="57"/>
      <c r="M1295" s="15"/>
    </row>
    <row r="1296" ht="63.0" customHeight="1">
      <c r="A1296" s="26"/>
      <c r="B1296" s="26"/>
      <c r="C1296" s="17" t="s">
        <v>151</v>
      </c>
      <c r="D1296" s="23" t="s">
        <v>629</v>
      </c>
      <c r="E1296" s="36" t="s">
        <v>630</v>
      </c>
      <c r="F1296" s="38"/>
      <c r="I1296" s="57"/>
      <c r="J1296" s="57"/>
      <c r="M1296" s="15"/>
    </row>
    <row r="1297" ht="63.0" customHeight="1">
      <c r="A1297" s="26"/>
      <c r="B1297" s="26"/>
      <c r="C1297" s="17" t="s">
        <v>151</v>
      </c>
      <c r="D1297" s="23" t="s">
        <v>1580</v>
      </c>
      <c r="E1297" s="36" t="s">
        <v>632</v>
      </c>
      <c r="F1297" s="38"/>
      <c r="I1297" s="57"/>
      <c r="J1297" s="57"/>
      <c r="M1297" s="15"/>
    </row>
    <row r="1298" ht="63.0" customHeight="1">
      <c r="A1298" s="26"/>
      <c r="B1298" s="26"/>
      <c r="C1298" s="17" t="s">
        <v>151</v>
      </c>
      <c r="D1298" s="23" t="s">
        <v>1581</v>
      </c>
      <c r="E1298" s="36" t="s">
        <v>632</v>
      </c>
      <c r="F1298" s="38"/>
      <c r="I1298" s="57"/>
      <c r="J1298" s="57"/>
      <c r="M1298" s="15"/>
    </row>
    <row r="1299" ht="63.0" customHeight="1">
      <c r="A1299" s="26"/>
      <c r="B1299" s="26"/>
      <c r="C1299" s="17" t="s">
        <v>151</v>
      </c>
      <c r="D1299" s="23" t="s">
        <v>1582</v>
      </c>
      <c r="E1299" s="36" t="s">
        <v>632</v>
      </c>
      <c r="F1299" s="38"/>
      <c r="I1299" s="57"/>
      <c r="J1299" s="57"/>
      <c r="M1299" s="15"/>
    </row>
    <row r="1300" ht="63.0" customHeight="1">
      <c r="A1300" s="26"/>
      <c r="B1300" s="26"/>
      <c r="C1300" s="17" t="s">
        <v>151</v>
      </c>
      <c r="D1300" s="23" t="s">
        <v>1583</v>
      </c>
      <c r="E1300" s="36" t="s">
        <v>632</v>
      </c>
      <c r="F1300" s="38"/>
      <c r="I1300" s="57"/>
      <c r="J1300" s="57"/>
      <c r="M1300" s="15"/>
    </row>
    <row r="1301" ht="63.0" customHeight="1">
      <c r="A1301" s="26"/>
      <c r="B1301" s="26"/>
      <c r="C1301" s="17" t="s">
        <v>151</v>
      </c>
      <c r="D1301" s="23" t="s">
        <v>1584</v>
      </c>
      <c r="E1301" s="36" t="s">
        <v>632</v>
      </c>
      <c r="F1301" s="38"/>
      <c r="I1301" s="57"/>
      <c r="J1301" s="57"/>
      <c r="M1301" s="15"/>
    </row>
    <row r="1302" ht="63.0" customHeight="1">
      <c r="A1302" s="26"/>
      <c r="B1302" s="26"/>
      <c r="C1302" s="17" t="s">
        <v>151</v>
      </c>
      <c r="D1302" s="23" t="s">
        <v>1584</v>
      </c>
      <c r="E1302" s="36" t="s">
        <v>632</v>
      </c>
      <c r="F1302" s="38"/>
      <c r="I1302" s="57"/>
      <c r="J1302" s="57"/>
      <c r="M1302" s="15"/>
    </row>
    <row r="1303" ht="63.0" customHeight="1">
      <c r="A1303" s="26"/>
      <c r="B1303" s="26"/>
      <c r="C1303" s="17" t="s">
        <v>151</v>
      </c>
      <c r="D1303" s="23" t="s">
        <v>1585</v>
      </c>
      <c r="E1303" s="36" t="s">
        <v>632</v>
      </c>
      <c r="F1303" s="38"/>
      <c r="I1303" s="57"/>
      <c r="J1303" s="57"/>
      <c r="M1303" s="15"/>
    </row>
    <row r="1304" ht="63.0" customHeight="1">
      <c r="A1304" s="26"/>
      <c r="B1304" s="26"/>
      <c r="C1304" s="17" t="s">
        <v>151</v>
      </c>
      <c r="D1304" s="23" t="s">
        <v>1586</v>
      </c>
      <c r="E1304" s="36" t="s">
        <v>632</v>
      </c>
      <c r="F1304" s="38"/>
      <c r="I1304" s="57"/>
      <c r="J1304" s="57"/>
      <c r="M1304" s="15"/>
    </row>
    <row r="1305" ht="63.0" customHeight="1">
      <c r="A1305" s="26"/>
      <c r="B1305" s="26"/>
      <c r="C1305" s="17" t="s">
        <v>151</v>
      </c>
      <c r="D1305" s="23" t="s">
        <v>1587</v>
      </c>
      <c r="E1305" s="36" t="s">
        <v>632</v>
      </c>
      <c r="F1305" s="38"/>
      <c r="I1305" s="57"/>
      <c r="J1305" s="57"/>
      <c r="M1305" s="15"/>
    </row>
    <row r="1306" ht="63.0" customHeight="1">
      <c r="A1306" s="26"/>
      <c r="B1306" s="26"/>
      <c r="C1306" s="17" t="s">
        <v>151</v>
      </c>
      <c r="D1306" s="23" t="s">
        <v>1588</v>
      </c>
      <c r="E1306" s="36" t="s">
        <v>632</v>
      </c>
      <c r="F1306" s="38"/>
      <c r="I1306" s="57"/>
      <c r="J1306" s="57"/>
      <c r="M1306" s="15"/>
    </row>
    <row r="1307" ht="63.0" customHeight="1">
      <c r="A1307" s="26"/>
      <c r="B1307" s="26"/>
      <c r="C1307" s="17" t="s">
        <v>151</v>
      </c>
      <c r="D1307" s="23" t="s">
        <v>1209</v>
      </c>
      <c r="E1307" s="36" t="s">
        <v>632</v>
      </c>
      <c r="F1307" s="38"/>
      <c r="I1307" s="57"/>
      <c r="J1307" s="57"/>
      <c r="M1307" s="15"/>
    </row>
    <row r="1308" ht="63.0" customHeight="1">
      <c r="A1308" s="26"/>
      <c r="B1308" s="26"/>
      <c r="C1308" s="17" t="s">
        <v>151</v>
      </c>
      <c r="D1308" s="23" t="s">
        <v>1589</v>
      </c>
      <c r="E1308" s="36" t="s">
        <v>632</v>
      </c>
      <c r="F1308" s="38"/>
      <c r="I1308" s="57"/>
      <c r="J1308" s="57"/>
      <c r="M1308" s="15"/>
    </row>
    <row r="1309" ht="63.0" customHeight="1">
      <c r="A1309" s="26"/>
      <c r="B1309" s="26"/>
      <c r="C1309" s="17" t="s">
        <v>151</v>
      </c>
      <c r="D1309" s="23" t="s">
        <v>1590</v>
      </c>
      <c r="E1309" s="36" t="s">
        <v>632</v>
      </c>
      <c r="F1309" s="38"/>
      <c r="I1309" s="57"/>
      <c r="J1309" s="57"/>
      <c r="M1309" s="15"/>
    </row>
    <row r="1310" ht="63.0" customHeight="1">
      <c r="A1310" s="26"/>
      <c r="B1310" s="26"/>
      <c r="C1310" s="17" t="s">
        <v>151</v>
      </c>
      <c r="D1310" s="23" t="s">
        <v>1591</v>
      </c>
      <c r="E1310" s="36" t="s">
        <v>632</v>
      </c>
      <c r="F1310" s="38"/>
      <c r="I1310" s="57"/>
      <c r="J1310" s="57"/>
      <c r="M1310" s="15"/>
    </row>
    <row r="1311" ht="63.0" customHeight="1">
      <c r="A1311" s="26"/>
      <c r="B1311" s="26"/>
      <c r="C1311" s="17" t="s">
        <v>151</v>
      </c>
      <c r="D1311" s="23" t="s">
        <v>1592</v>
      </c>
      <c r="E1311" s="36" t="s">
        <v>632</v>
      </c>
      <c r="F1311" s="38"/>
      <c r="I1311" s="57"/>
      <c r="J1311" s="57"/>
      <c r="M1311" s="15"/>
    </row>
    <row r="1312" ht="63.0" customHeight="1">
      <c r="A1312" s="26"/>
      <c r="B1312" s="26"/>
      <c r="C1312" s="17" t="s">
        <v>151</v>
      </c>
      <c r="D1312" s="23" t="s">
        <v>1593</v>
      </c>
      <c r="E1312" s="36" t="s">
        <v>632</v>
      </c>
      <c r="F1312" s="38"/>
      <c r="I1312" s="57"/>
      <c r="J1312" s="57"/>
      <c r="M1312" s="15"/>
    </row>
    <row r="1313" ht="63.0" customHeight="1">
      <c r="A1313" s="26"/>
      <c r="B1313" s="26"/>
      <c r="C1313" s="17" t="s">
        <v>151</v>
      </c>
      <c r="D1313" s="23" t="s">
        <v>877</v>
      </c>
      <c r="E1313" s="36" t="s">
        <v>630</v>
      </c>
      <c r="F1313" s="38"/>
      <c r="I1313" s="57"/>
      <c r="J1313" s="57"/>
      <c r="M1313" s="15"/>
    </row>
    <row r="1314" ht="63.0" customHeight="1">
      <c r="A1314" s="26"/>
      <c r="B1314" s="26"/>
      <c r="C1314" s="17" t="s">
        <v>151</v>
      </c>
      <c r="D1314" s="23" t="s">
        <v>877</v>
      </c>
      <c r="E1314" s="36" t="s">
        <v>630</v>
      </c>
      <c r="F1314" s="38"/>
      <c r="I1314" s="57"/>
      <c r="J1314" s="57"/>
      <c r="M1314" s="15"/>
    </row>
    <row r="1315" ht="63.0" customHeight="1">
      <c r="A1315" s="26"/>
      <c r="B1315" s="26"/>
      <c r="C1315" s="17" t="s">
        <v>151</v>
      </c>
      <c r="D1315" s="23" t="s">
        <v>877</v>
      </c>
      <c r="E1315" s="36" t="s">
        <v>630</v>
      </c>
      <c r="F1315" s="38"/>
      <c r="I1315" s="57"/>
      <c r="J1315" s="57"/>
      <c r="M1315" s="15"/>
    </row>
    <row r="1316" ht="63.0" customHeight="1">
      <c r="A1316" s="26"/>
      <c r="B1316" s="26"/>
      <c r="C1316" s="17" t="s">
        <v>151</v>
      </c>
      <c r="D1316" s="23" t="s">
        <v>629</v>
      </c>
      <c r="E1316" s="36" t="s">
        <v>630</v>
      </c>
      <c r="F1316" s="38"/>
      <c r="I1316" s="57"/>
      <c r="J1316" s="57"/>
      <c r="M1316" s="15"/>
    </row>
  </sheetData>
  <mergeCells count="2">
    <mergeCell ref="L1:L5"/>
    <mergeCell ref="M3:M5"/>
  </mergeCells>
  <dataValidations>
    <dataValidation type="list" allowBlank="1" showErrorMessage="1" sqref="C2:C1316">
      <formula1>"Transaction_MoMo,Data,Airtime,DLS ONLINE,Promotion"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25"/>
    <col customWidth="1" min="3" max="3" width="105.88"/>
  </cols>
  <sheetData>
    <row r="1">
      <c r="B1" s="45" t="s">
        <v>1594</v>
      </c>
      <c r="C1" s="45" t="s">
        <v>1595</v>
      </c>
    </row>
    <row r="2">
      <c r="A2" s="45">
        <v>0.0</v>
      </c>
      <c r="B2" s="45" t="s">
        <v>261</v>
      </c>
      <c r="C2" s="45" t="s">
        <v>343</v>
      </c>
    </row>
    <row r="3">
      <c r="A3" s="45">
        <v>1.0</v>
      </c>
      <c r="B3" s="45" t="s">
        <v>51</v>
      </c>
      <c r="C3" s="45" t="s">
        <v>58</v>
      </c>
    </row>
    <row r="4">
      <c r="A4" s="45">
        <v>2.0</v>
      </c>
      <c r="B4" s="45" t="s">
        <v>238</v>
      </c>
      <c r="C4" s="45" t="s">
        <v>1596</v>
      </c>
    </row>
    <row r="5">
      <c r="A5" s="45">
        <v>3.0</v>
      </c>
      <c r="B5" s="45" t="s">
        <v>250</v>
      </c>
      <c r="C5" s="45" t="s">
        <v>254</v>
      </c>
    </row>
    <row r="6">
      <c r="A6" s="45">
        <v>4.0</v>
      </c>
      <c r="B6" s="45" t="s">
        <v>66</v>
      </c>
      <c r="C6" s="45" t="s">
        <v>73</v>
      </c>
    </row>
    <row r="7">
      <c r="A7" s="45">
        <v>5.0</v>
      </c>
      <c r="B7" s="45" t="s">
        <v>210</v>
      </c>
      <c r="C7" s="45" t="s">
        <v>214</v>
      </c>
    </row>
    <row r="8">
      <c r="A8" s="45">
        <v>6.0</v>
      </c>
      <c r="B8" s="45" t="s">
        <v>114</v>
      </c>
      <c r="C8" s="45" t="s">
        <v>1597</v>
      </c>
    </row>
    <row r="9">
      <c r="A9" s="45">
        <v>7.0</v>
      </c>
      <c r="B9" s="45" t="s">
        <v>74</v>
      </c>
      <c r="C9" s="45" t="s">
        <v>81</v>
      </c>
    </row>
    <row r="10">
      <c r="A10" s="45">
        <v>8.0</v>
      </c>
      <c r="B10" s="45" t="s">
        <v>1598</v>
      </c>
      <c r="C10" s="45" t="s">
        <v>1599</v>
      </c>
    </row>
    <row r="11">
      <c r="A11" s="45">
        <v>9.0</v>
      </c>
      <c r="B11" s="45" t="s">
        <v>278</v>
      </c>
      <c r="C11" s="45" t="s">
        <v>282</v>
      </c>
    </row>
    <row r="12">
      <c r="A12" s="45">
        <v>10.0</v>
      </c>
      <c r="B12" s="45" t="s">
        <v>122</v>
      </c>
      <c r="C12" s="45" t="s">
        <v>129</v>
      </c>
    </row>
    <row r="13">
      <c r="A13" s="45">
        <v>11.0</v>
      </c>
      <c r="B13" s="45" t="s">
        <v>271</v>
      </c>
      <c r="C13" s="45" t="s">
        <v>1600</v>
      </c>
    </row>
    <row r="14">
      <c r="A14" s="45">
        <v>12.0</v>
      </c>
      <c r="B14" s="45" t="s">
        <v>161</v>
      </c>
      <c r="C14" s="45" t="s">
        <v>168</v>
      </c>
    </row>
    <row r="15">
      <c r="A15" s="45">
        <v>13.0</v>
      </c>
      <c r="B15" s="45" t="s">
        <v>177</v>
      </c>
      <c r="C15" s="45" t="s">
        <v>185</v>
      </c>
    </row>
    <row r="16">
      <c r="A16" s="45">
        <v>14.0</v>
      </c>
      <c r="B16" s="45" t="s">
        <v>1601</v>
      </c>
      <c r="C16" s="45" t="s">
        <v>138</v>
      </c>
    </row>
    <row r="17">
      <c r="A17" s="45">
        <v>15.0</v>
      </c>
      <c r="B17" s="45" t="s">
        <v>90</v>
      </c>
      <c r="C17" s="45" t="s">
        <v>97</v>
      </c>
    </row>
    <row r="18">
      <c r="A18" s="45">
        <v>16.0</v>
      </c>
      <c r="B18" s="45" t="s">
        <v>314</v>
      </c>
      <c r="C18" s="45" t="s">
        <v>317</v>
      </c>
    </row>
    <row r="19">
      <c r="A19" s="45">
        <v>17.0</v>
      </c>
      <c r="B19" s="45" t="s">
        <v>309</v>
      </c>
      <c r="C19" s="45" t="s">
        <v>312</v>
      </c>
    </row>
    <row r="20">
      <c r="A20" s="45">
        <v>18.0</v>
      </c>
      <c r="B20" s="45" t="s">
        <v>1602</v>
      </c>
      <c r="C20" s="45" t="s">
        <v>307</v>
      </c>
    </row>
    <row r="21">
      <c r="A21" s="45">
        <v>19.0</v>
      </c>
      <c r="B21" s="45" t="s">
        <v>300</v>
      </c>
      <c r="C21" s="45" t="s">
        <v>303</v>
      </c>
    </row>
    <row r="22">
      <c r="A22" s="45">
        <v>20.0</v>
      </c>
      <c r="B22" s="45" t="s">
        <v>106</v>
      </c>
      <c r="C22" s="45" t="s">
        <v>113</v>
      </c>
    </row>
    <row r="23">
      <c r="A23" s="45">
        <v>21.0</v>
      </c>
      <c r="B23" s="45" t="s">
        <v>321</v>
      </c>
      <c r="C23" s="45" t="s">
        <v>324</v>
      </c>
    </row>
    <row r="24">
      <c r="A24" s="45">
        <v>22.0</v>
      </c>
      <c r="B24" s="45" t="s">
        <v>42</v>
      </c>
      <c r="C24" s="45" t="s">
        <v>50</v>
      </c>
    </row>
    <row r="25">
      <c r="A25" s="45">
        <v>23.0</v>
      </c>
      <c r="B25" s="45" t="s">
        <v>244</v>
      </c>
      <c r="C25" s="45" t="s">
        <v>248</v>
      </c>
    </row>
    <row r="26">
      <c r="A26" s="45">
        <v>24.0</v>
      </c>
      <c r="B26" s="45" t="s">
        <v>345</v>
      </c>
      <c r="C26" s="45" t="s">
        <v>346</v>
      </c>
    </row>
    <row r="27">
      <c r="A27" s="45">
        <v>25.0</v>
      </c>
      <c r="B27" s="45" t="s">
        <v>1603</v>
      </c>
      <c r="C27" s="45" t="s">
        <v>259</v>
      </c>
    </row>
    <row r="28">
      <c r="A28" s="45">
        <v>26.0</v>
      </c>
      <c r="B28" s="45" t="s">
        <v>216</v>
      </c>
      <c r="C28" s="45" t="s">
        <v>220</v>
      </c>
    </row>
    <row r="29">
      <c r="A29" s="45">
        <v>27.0</v>
      </c>
      <c r="B29" s="45" t="s">
        <v>98</v>
      </c>
      <c r="C29" s="45" t="s">
        <v>105</v>
      </c>
    </row>
    <row r="30">
      <c r="A30" s="45">
        <v>28.0</v>
      </c>
      <c r="B30" s="45" t="s">
        <v>227</v>
      </c>
      <c r="C30" s="45" t="s">
        <v>231</v>
      </c>
    </row>
    <row r="31">
      <c r="A31" s="45">
        <v>29.0</v>
      </c>
      <c r="B31" s="45" t="s">
        <v>140</v>
      </c>
      <c r="C31" s="45" t="s">
        <v>148</v>
      </c>
    </row>
    <row r="32">
      <c r="A32" s="45">
        <v>30.0</v>
      </c>
      <c r="B32" s="45" t="s">
        <v>261</v>
      </c>
      <c r="C32" s="45" t="s">
        <v>1604</v>
      </c>
    </row>
    <row r="33">
      <c r="A33" s="45">
        <v>31.0</v>
      </c>
      <c r="B33" s="45" t="s">
        <v>82</v>
      </c>
      <c r="C33" s="45" t="s">
        <v>89</v>
      </c>
    </row>
    <row r="34">
      <c r="A34" s="45">
        <v>32.0</v>
      </c>
      <c r="B34" s="45" t="s">
        <v>187</v>
      </c>
      <c r="C34" s="45" t="s">
        <v>194</v>
      </c>
    </row>
    <row r="35">
      <c r="A35" s="45">
        <v>33.0</v>
      </c>
      <c r="B35" s="45" t="s">
        <v>294</v>
      </c>
      <c r="C35" s="45" t="s">
        <v>298</v>
      </c>
    </row>
    <row r="36">
      <c r="A36" s="45">
        <v>34.0</v>
      </c>
      <c r="B36" s="45" t="s">
        <v>196</v>
      </c>
      <c r="C36" s="45" t="s">
        <v>203</v>
      </c>
    </row>
    <row r="37">
      <c r="A37" s="45">
        <v>35.0</v>
      </c>
      <c r="B37" s="45" t="s">
        <v>204</v>
      </c>
      <c r="C37" s="45" t="s">
        <v>209</v>
      </c>
    </row>
    <row r="38">
      <c r="A38" s="45">
        <v>36.0</v>
      </c>
      <c r="B38" s="45" t="s">
        <v>1605</v>
      </c>
      <c r="C38" s="45" t="s">
        <v>237</v>
      </c>
    </row>
    <row r="39">
      <c r="A39" s="45">
        <v>37.0</v>
      </c>
      <c r="B39" s="45" t="s">
        <v>169</v>
      </c>
      <c r="C39" s="45" t="s">
        <v>176</v>
      </c>
    </row>
    <row r="40">
      <c r="A40" s="45">
        <v>38.0</v>
      </c>
      <c r="B40" s="45" t="s">
        <v>150</v>
      </c>
      <c r="C40" s="45" t="s">
        <v>1606</v>
      </c>
    </row>
    <row r="41">
      <c r="A41" s="45">
        <v>39.0</v>
      </c>
      <c r="B41" s="45" t="s">
        <v>222</v>
      </c>
      <c r="C41" s="45" t="s">
        <v>226</v>
      </c>
    </row>
  </sheetData>
  <drawing r:id="rId1"/>
</worksheet>
</file>